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Desktop\DECODELABS\Data Analytics\"/>
    </mc:Choice>
  </mc:AlternateContent>
  <xr:revisionPtr revIDLastSave="0" documentId="13_ncr:1_{D60F8BC4-3523-4BB5-BA08-EB08278A4374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Raw Data" sheetId="2" r:id="rId1"/>
    <sheet name="Cleaned Data" sheetId="1" r:id="rId2"/>
    <sheet name="Data Summary" sheetId="3" r:id="rId3"/>
    <sheet name="Analysis" sheetId="4" r:id="rId4"/>
  </sheets>
  <calcPr calcId="181029"/>
</workbook>
</file>

<file path=xl/calcChain.xml><?xml version="1.0" encoding="utf-8"?>
<calcChain xmlns="http://schemas.openxmlformats.org/spreadsheetml/2006/main">
  <c r="B46" i="4" l="1"/>
  <c r="B45" i="4"/>
  <c r="B44" i="4"/>
  <c r="B43" i="4"/>
  <c r="B42" i="4"/>
  <c r="B41" i="4"/>
  <c r="B40" i="4"/>
  <c r="B32" i="4"/>
  <c r="D32" i="4" s="1"/>
  <c r="C32" i="4"/>
  <c r="B33" i="4"/>
  <c r="D33" i="4" s="1"/>
  <c r="C33" i="4"/>
  <c r="B34" i="4"/>
  <c r="C34" i="4"/>
  <c r="D34" i="4" s="1"/>
  <c r="B35" i="4"/>
  <c r="C35" i="4"/>
  <c r="D35" i="4"/>
  <c r="B36" i="4"/>
  <c r="D36" i="4" s="1"/>
  <c r="C36" i="4"/>
  <c r="B37" i="4"/>
  <c r="D37" i="4" s="1"/>
  <c r="C37" i="4"/>
  <c r="D31" i="4"/>
  <c r="C31" i="4"/>
  <c r="B31" i="4"/>
  <c r="B16" i="4"/>
  <c r="C16" i="4"/>
  <c r="B17" i="4"/>
  <c r="D17" i="4" s="1"/>
  <c r="C17" i="4"/>
  <c r="B18" i="4"/>
  <c r="C18" i="4"/>
  <c r="B19" i="4"/>
  <c r="D19" i="4" s="1"/>
  <c r="C19" i="4"/>
  <c r="B20" i="4"/>
  <c r="C20" i="4"/>
  <c r="B21" i="4"/>
  <c r="D21" i="4" s="1"/>
  <c r="C21" i="4"/>
  <c r="B22" i="4"/>
  <c r="C22" i="4"/>
  <c r="B23" i="4"/>
  <c r="D23" i="4" s="1"/>
  <c r="C23" i="4"/>
  <c r="B24" i="4"/>
  <c r="C24" i="4"/>
  <c r="B25" i="4"/>
  <c r="D25" i="4" s="1"/>
  <c r="C25" i="4"/>
  <c r="B26" i="4"/>
  <c r="D26" i="4" s="1"/>
  <c r="C26" i="4"/>
  <c r="C15" i="4"/>
  <c r="B15" i="4"/>
  <c r="D10" i="4"/>
  <c r="D9" i="4"/>
  <c r="D8" i="4"/>
  <c r="C10" i="4"/>
  <c r="C9" i="4"/>
  <c r="C8" i="4"/>
  <c r="B10" i="4"/>
  <c r="B9" i="4"/>
  <c r="B8" i="4"/>
  <c r="D7" i="4"/>
  <c r="D6" i="4"/>
  <c r="C6" i="4"/>
  <c r="D5" i="4"/>
  <c r="C7" i="4"/>
  <c r="C5" i="4"/>
  <c r="B7" i="4"/>
  <c r="B6" i="4"/>
  <c r="B5" i="4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D24" i="4" l="1"/>
  <c r="D22" i="4"/>
  <c r="D20" i="4"/>
  <c r="D18" i="4"/>
  <c r="D16" i="4"/>
  <c r="D15" i="4"/>
</calcChain>
</file>

<file path=xl/sharedStrings.xml><?xml version="1.0" encoding="utf-8"?>
<sst xmlns="http://schemas.openxmlformats.org/spreadsheetml/2006/main" count="21400" uniqueCount="4353">
  <si>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</si>
  <si>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</si>
  <si>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</si>
  <si>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</si>
  <si>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</si>
  <si>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</si>
  <si>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</si>
  <si>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</si>
  <si>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</si>
  <si>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</si>
  <si>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</si>
  <si>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</si>
  <si>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</si>
  <si>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</si>
  <si>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</si>
  <si>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</si>
  <si>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</si>
  <si>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</si>
  <si>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</si>
  <si>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</si>
  <si>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</si>
  <si>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</si>
  <si>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</si>
  <si>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</si>
  <si>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</si>
  <si>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</si>
  <si>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</si>
  <si>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</si>
  <si>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</si>
  <si>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</si>
  <si>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</si>
  <si>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</si>
  <si>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</si>
  <si>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</si>
  <si>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</si>
  <si>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</si>
  <si>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</si>
  <si>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</si>
  <si>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</si>
  <si>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</si>
  <si>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</si>
  <si>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</si>
  <si>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</si>
  <si>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</si>
  <si>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</si>
  <si>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</si>
  <si>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</si>
  <si>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</si>
  <si>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</si>
  <si>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</si>
  <si>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</si>
  <si>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</si>
  <si>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</si>
  <si>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</si>
  <si>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</si>
  <si>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</si>
  <si>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</si>
  <si>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</si>
  <si>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</si>
  <si>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</si>
  <si>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</si>
  <si>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</si>
  <si>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</si>
  <si>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</si>
  <si>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</si>
  <si>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</si>
  <si>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</si>
  <si>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</si>
  <si>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</si>
  <si>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</si>
  <si>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</si>
  <si>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</si>
  <si>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</si>
  <si>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</si>
  <si>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</si>
  <si>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</si>
  <si>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</si>
  <si>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</si>
  <si>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</si>
  <si>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</si>
  <si>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</si>
  <si>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</si>
  <si>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</si>
  <si>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</si>
  <si>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</si>
  <si>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</si>
  <si>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</si>
  <si>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</si>
  <si>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</si>
  <si>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</si>
  <si>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</si>
  <si>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</si>
  <si>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</si>
  <si>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</si>
  <si>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</si>
  <si>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</si>
  <si>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</si>
  <si>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</si>
  <si>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</si>
  <si>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</si>
  <si>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</si>
  <si>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</si>
  <si>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</si>
  <si>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</si>
  <si>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</si>
  <si>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</si>
  <si>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</si>
  <si>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</si>
  <si>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</si>
  <si>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</si>
  <si>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</si>
  <si>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</si>
  <si>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</si>
  <si>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</si>
  <si>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</si>
  <si>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</si>
  <si>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</si>
  <si>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</si>
  <si>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</si>
  <si>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</si>
  <si>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</si>
  <si>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</si>
  <si>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</si>
  <si>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</si>
  <si>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</si>
  <si>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</si>
  <si>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</si>
  <si>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</si>
  <si>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</si>
  <si>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</si>
  <si>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</si>
  <si>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</si>
  <si>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</si>
  <si>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</si>
  <si>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</si>
  <si>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</si>
  <si>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</si>
  <si>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</si>
  <si>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</si>
  <si>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</si>
  <si>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</si>
  <si>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</si>
  <si>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</si>
  <si>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</si>
  <si>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</si>
  <si>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</si>
  <si>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</si>
  <si>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</si>
  <si>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</si>
  <si>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</si>
  <si>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</si>
  <si>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</si>
  <si>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</si>
  <si>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</si>
  <si>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</si>
  <si>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</si>
  <si>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</si>
  <si>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</si>
  <si>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</si>
  <si>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</si>
  <si>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</si>
  <si>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</si>
  <si>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</si>
  <si>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</si>
  <si>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</si>
  <si>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</si>
  <si>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</si>
  <si>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</si>
  <si>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</si>
  <si>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</si>
  <si>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</si>
  <si>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</si>
  <si>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</si>
  <si>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</si>
  <si>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</si>
  <si>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</si>
  <si>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</si>
  <si>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</si>
  <si>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</si>
  <si>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</si>
  <si>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</si>
  <si>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</si>
  <si>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</si>
  <si>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</si>
  <si>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</si>
  <si>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</si>
  <si>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</si>
  <si>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</si>
  <si>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</si>
  <si>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</si>
  <si>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</si>
  <si>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</si>
  <si>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</si>
  <si>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</si>
  <si>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</si>
  <si>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</si>
  <si>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</si>
  <si>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</si>
  <si>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</si>
  <si>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</si>
  <si>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</si>
  <si>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</si>
  <si>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</si>
  <si>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</si>
  <si>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</si>
  <si>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</si>
  <si>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</si>
  <si>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</si>
  <si>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</si>
  <si>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</si>
  <si>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</si>
  <si>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</si>
  <si>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</si>
  <si>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</si>
  <si>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</si>
  <si>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</si>
  <si>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</si>
  <si>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</si>
  <si>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</si>
  <si>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</si>
  <si>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</si>
  <si>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</si>
  <si>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</si>
  <si>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</si>
  <si>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</si>
  <si>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</si>
  <si>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</si>
  <si>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</si>
  <si>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</si>
  <si>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</si>
  <si>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</si>
  <si>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</si>
  <si>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</si>
  <si>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</si>
  <si>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</si>
  <si>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</si>
  <si>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</si>
  <si>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</si>
  <si>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</si>
  <si>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</si>
  <si>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</si>
  <si>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</si>
  <si>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</si>
  <si>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</si>
  <si>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</si>
  <si>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</si>
  <si>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</si>
  <si>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</si>
  <si>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</si>
  <si>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</si>
  <si>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</si>
  <si>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</si>
  <si>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</si>
  <si>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</si>
  <si>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</si>
  <si>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</si>
  <si>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</si>
  <si>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</si>
  <si>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</si>
  <si>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</si>
  <si>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</si>
  <si>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</si>
  <si>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</si>
  <si>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</si>
  <si>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</si>
  <si>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</si>
  <si>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</si>
  <si>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</si>
  <si>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</si>
  <si>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</si>
  <si>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</si>
  <si>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</si>
  <si>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</si>
  <si>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</si>
  <si>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</si>
  <si>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</si>
  <si>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</si>
  <si>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</si>
  <si>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</si>
  <si>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</si>
  <si>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</si>
  <si>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</si>
  <si>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</si>
  <si>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</si>
  <si>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</si>
  <si>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</si>
  <si>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</si>
  <si>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</si>
  <si>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</si>
  <si>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</si>
  <si>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</si>
  <si>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</si>
  <si>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</si>
  <si>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</si>
  <si>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</si>
  <si>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</si>
  <si>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</si>
  <si>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</si>
  <si>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</si>
  <si>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</si>
  <si>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</si>
  <si>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</si>
  <si>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</si>
  <si>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</si>
  <si>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</si>
  <si>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</si>
  <si>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</si>
  <si>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</si>
  <si>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</si>
  <si>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</si>
  <si>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</si>
  <si>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</si>
  <si>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</si>
  <si>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</si>
  <si>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</si>
  <si>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</si>
  <si>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</si>
  <si>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</si>
  <si>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</si>
  <si>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</si>
  <si>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</si>
  <si>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</si>
  <si>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</si>
  <si>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</si>
  <si>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</si>
  <si>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</si>
  <si>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</si>
  <si>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</si>
  <si>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</si>
  <si>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</si>
  <si>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</si>
  <si>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</si>
  <si>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</si>
  <si>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</si>
  <si>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</si>
  <si>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</si>
  <si>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</si>
  <si>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</si>
  <si>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</si>
  <si>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</si>
  <si>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</si>
  <si>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</si>
  <si>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</si>
  <si>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</si>
  <si>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</si>
  <si>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</si>
  <si>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</si>
  <si>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</si>
  <si>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</si>
  <si>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</si>
  <si>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</si>
  <si>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</si>
  <si>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</si>
  <si>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</si>
  <si>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</si>
  <si>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</si>
  <si>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</si>
  <si>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</si>
  <si>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</si>
  <si>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</si>
  <si>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</si>
  <si>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</si>
  <si>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</si>
  <si>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</si>
  <si>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</si>
  <si>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</si>
  <si>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</si>
  <si>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</si>
  <si>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</si>
  <si>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</si>
  <si>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</si>
  <si>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</si>
  <si>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</si>
  <si>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</si>
  <si>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</si>
  <si>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</si>
  <si>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</si>
  <si>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</si>
  <si>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</si>
  <si>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</si>
  <si>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</si>
  <si>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</si>
  <si>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</si>
  <si>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</si>
  <si>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</si>
  <si>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</si>
  <si>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</si>
  <si>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</si>
  <si>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</si>
  <si>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</si>
  <si>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</si>
  <si>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</si>
  <si>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</si>
  <si>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</si>
  <si>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</si>
  <si>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</si>
  <si>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</si>
  <si>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</si>
  <si>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</si>
  <si>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</si>
  <si>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</si>
  <si>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</si>
  <si>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</si>
  <si>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</si>
  <si>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</si>
  <si>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</si>
  <si>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</si>
  <si>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</si>
  <si>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</si>
  <si>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</si>
  <si>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</si>
  <si>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</si>
  <si>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</si>
  <si>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</si>
  <si>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</si>
  <si>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</si>
  <si>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</si>
  <si>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</si>
  <si>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</si>
  <si>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</si>
  <si>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</si>
  <si>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</si>
  <si>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</si>
  <si>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</si>
  <si>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</si>
  <si>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</si>
  <si>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</si>
  <si>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</si>
  <si>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</si>
  <si>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</si>
  <si>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</si>
  <si>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</si>
  <si>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</si>
  <si>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</si>
  <si>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</si>
  <si>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</si>
  <si>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</si>
  <si>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</si>
  <si>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</si>
  <si>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</si>
  <si>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</si>
  <si>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</si>
  <si>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</si>
  <si>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</si>
  <si>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</si>
  <si>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</si>
  <si>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</si>
  <si>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</si>
  <si>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</si>
  <si>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</si>
  <si>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</si>
  <si>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</si>
  <si>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</si>
  <si>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</si>
  <si>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</si>
  <si>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</si>
  <si>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</si>
  <si>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</si>
  <si>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</si>
  <si>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</si>
  <si>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</si>
  <si>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</si>
  <si>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</si>
  <si>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</si>
  <si>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</si>
  <si>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</si>
  <si>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</si>
  <si>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</si>
  <si>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</si>
  <si>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</si>
  <si>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</si>
  <si>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</si>
  <si>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</si>
  <si>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</si>
  <si>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</si>
  <si>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</si>
  <si>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</si>
  <si>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</si>
  <si>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</si>
  <si>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</si>
  <si>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</si>
  <si>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</si>
  <si>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</si>
  <si>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</si>
  <si>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</si>
  <si>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</si>
  <si>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</si>
  <si>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</si>
  <si>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</si>
  <si>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</si>
  <si>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</si>
  <si>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</si>
  <si>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</si>
  <si>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</si>
  <si>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</si>
  <si>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</si>
  <si>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</si>
  <si>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</si>
  <si>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</si>
  <si>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</si>
  <si>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</si>
  <si>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</si>
  <si>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</si>
  <si>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</si>
  <si>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</si>
  <si>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</si>
  <si>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</si>
  <si>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</si>
  <si>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</si>
  <si>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</si>
  <si>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</si>
  <si>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</si>
  <si>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</si>
  <si>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</si>
  <si>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</si>
  <si>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</si>
  <si>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</si>
  <si>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</si>
  <si>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</si>
  <si>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</si>
  <si>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</si>
  <si>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</si>
  <si>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</si>
  <si>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</si>
  <si>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</si>
  <si>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</si>
  <si>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</si>
  <si>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</si>
  <si>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</si>
  <si>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</si>
  <si>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</si>
  <si>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</si>
  <si>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</si>
  <si>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</si>
  <si>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</si>
  <si>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</si>
  <si>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</si>
  <si>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</si>
  <si>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</si>
  <si>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</si>
  <si>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</si>
  <si>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</si>
  <si>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</si>
  <si>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</si>
  <si>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</si>
  <si>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</si>
  <si>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</si>
  <si>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</si>
  <si>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</si>
  <si>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</si>
  <si>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</si>
  <si>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</si>
  <si>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</si>
  <si>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</si>
  <si>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</si>
  <si>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</si>
  <si>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</si>
  <si>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</si>
  <si>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</si>
  <si>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</si>
  <si>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</si>
  <si>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</si>
  <si>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</si>
  <si>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</si>
  <si>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</si>
  <si>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</si>
  <si>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</si>
  <si>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</si>
  <si>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</si>
  <si>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</si>
  <si>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</si>
  <si>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</si>
  <si>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</si>
  <si>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</si>
  <si>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</si>
  <si>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</si>
  <si>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</si>
  <si>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</si>
  <si>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</si>
  <si>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</si>
  <si>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</si>
  <si>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</si>
  <si>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</si>
  <si>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</si>
  <si>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</si>
  <si>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</si>
  <si>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</si>
  <si>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</si>
  <si>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</si>
  <si>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</si>
  <si>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</si>
  <si>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</si>
  <si>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</si>
  <si>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</si>
  <si>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</si>
  <si>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</si>
  <si>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</si>
  <si>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</si>
  <si>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</si>
  <si>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</si>
  <si>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</si>
  <si>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</si>
  <si>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</si>
  <si>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</si>
  <si>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</si>
  <si>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</si>
  <si>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</si>
  <si>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</si>
  <si>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</si>
  <si>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</si>
  <si>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</si>
  <si>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</si>
  <si>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</si>
  <si>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</si>
  <si>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</si>
  <si>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</si>
  <si>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</si>
  <si>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</si>
  <si>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</si>
  <si>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</si>
  <si>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</si>
  <si>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</si>
  <si>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</si>
  <si>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</si>
  <si>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</si>
  <si>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</si>
  <si>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</si>
  <si>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</si>
  <si>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</si>
  <si>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</si>
  <si>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</si>
  <si>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</si>
  <si>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</si>
  <si>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</si>
  <si>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</si>
  <si>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</si>
  <si>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</si>
  <si>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</si>
  <si>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</si>
  <si>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</si>
  <si>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</si>
  <si>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</si>
  <si>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</si>
  <si>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</si>
  <si>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</si>
  <si>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</si>
  <si>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</si>
  <si>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</si>
  <si>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</si>
  <si>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</si>
  <si>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</si>
  <si>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</si>
  <si>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</si>
  <si>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</si>
  <si>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</si>
  <si>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</si>
  <si>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</si>
  <si>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</si>
  <si>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</si>
  <si>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</si>
  <si>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</si>
  <si>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</si>
  <si>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</si>
  <si>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</si>
  <si>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</si>
  <si>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</si>
  <si>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</si>
  <si>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</si>
  <si>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</si>
  <si>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</si>
  <si>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</si>
  <si>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</si>
  <si>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</si>
  <si>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</si>
  <si>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</si>
  <si>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</si>
  <si>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</si>
  <si>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</si>
  <si>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</si>
  <si>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</si>
  <si>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</si>
  <si>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</si>
  <si>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</si>
  <si>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</si>
  <si>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</si>
  <si>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</si>
  <si>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</si>
  <si>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</si>
  <si>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</si>
  <si>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</si>
  <si>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</si>
  <si>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</si>
  <si>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</si>
  <si>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</si>
  <si>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</si>
  <si>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</si>
  <si>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</si>
  <si>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</si>
  <si>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</si>
  <si>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</si>
  <si>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</si>
  <si>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</si>
  <si>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</si>
  <si>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</si>
  <si>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</si>
  <si>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</si>
  <si>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</si>
  <si>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</si>
  <si>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</si>
  <si>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</si>
  <si>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</si>
  <si>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</si>
  <si>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</si>
  <si>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</si>
  <si>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</si>
  <si>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</si>
  <si>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</si>
  <si>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</si>
  <si>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</si>
  <si>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</si>
  <si>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</si>
  <si>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</si>
  <si>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</si>
  <si>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</si>
  <si>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</si>
  <si>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</si>
  <si>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</si>
  <si>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</si>
  <si>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</si>
  <si>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</si>
  <si>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</si>
  <si>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</si>
  <si>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</si>
  <si>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</si>
  <si>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</si>
  <si>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</si>
  <si>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</si>
  <si>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</si>
  <si>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</si>
  <si>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</si>
  <si>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</si>
  <si>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</si>
  <si>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</si>
  <si>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</si>
  <si>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</si>
  <si>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</si>
  <si>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</si>
  <si>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</si>
  <si>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</si>
  <si>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</si>
  <si>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</si>
  <si>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</si>
  <si>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</si>
  <si>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</si>
  <si>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</si>
  <si>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</si>
  <si>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</si>
  <si>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</si>
  <si>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</si>
  <si>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</si>
  <si>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</si>
  <si>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</si>
  <si>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</si>
  <si>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</si>
  <si>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</si>
  <si>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</si>
  <si>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</si>
  <si>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</si>
  <si>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</si>
  <si>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</si>
  <si>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</si>
  <si>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</si>
  <si>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</si>
  <si>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</si>
  <si>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</si>
  <si>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</si>
  <si>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</si>
  <si>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</si>
  <si>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</si>
  <si>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</si>
  <si>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</si>
  <si>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</si>
  <si>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</si>
  <si>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</si>
  <si>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</si>
  <si>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</si>
  <si>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</si>
  <si>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</si>
  <si>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</si>
  <si>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</si>
  <si>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</si>
  <si>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</si>
  <si>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</si>
  <si>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</si>
  <si>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</si>
  <si>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</si>
  <si>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</si>
  <si>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</si>
  <si>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</si>
  <si>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</si>
  <si>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</si>
  <si>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</si>
  <si>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</si>
  <si>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</si>
  <si>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</si>
  <si>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</si>
  <si>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</si>
  <si>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</si>
  <si>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</si>
  <si>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</si>
  <si>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</si>
  <si>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</si>
  <si>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</si>
  <si>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</si>
  <si>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</si>
  <si>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</si>
  <si>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</si>
  <si>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</si>
  <si>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</si>
  <si>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</si>
  <si>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</si>
  <si>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</si>
  <si>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</si>
  <si>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</si>
  <si>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</si>
  <si>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</si>
  <si>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</si>
  <si>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</si>
  <si>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</si>
  <si>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</si>
  <si>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</si>
  <si>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</si>
  <si>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</si>
  <si>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</si>
  <si>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</si>
  <si>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</si>
  <si>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</si>
  <si>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</si>
  <si>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</si>
  <si>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</si>
  <si>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</si>
  <si>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</si>
  <si>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</si>
  <si>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</si>
  <si>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</si>
  <si>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</si>
  <si>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</si>
  <si>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</si>
  <si>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</si>
  <si>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</si>
  <si>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</si>
  <si>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</si>
  <si>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</si>
  <si>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</si>
  <si>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</si>
  <si>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</si>
  <si>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</si>
  <si>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</si>
  <si>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</si>
  <si>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</si>
  <si>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</si>
  <si>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</si>
  <si>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</si>
  <si>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</si>
  <si>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</si>
  <si>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</si>
  <si>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</si>
  <si>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</si>
  <si>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</si>
  <si>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</si>
  <si>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</si>
  <si>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</si>
  <si>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</si>
  <si>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</si>
  <si>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</si>
  <si>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</si>
  <si>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</si>
  <si>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</si>
  <si>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</si>
  <si>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</si>
  <si>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</si>
  <si>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</si>
  <si>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</si>
  <si>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</si>
  <si>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</si>
  <si>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</si>
  <si>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</si>
  <si>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</si>
  <si>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</si>
  <si>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</si>
  <si>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</si>
  <si>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</si>
  <si>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</si>
  <si>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</si>
  <si>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</si>
  <si>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</si>
  <si>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</si>
  <si>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</si>
  <si>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</si>
  <si>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</si>
  <si>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</si>
  <si>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</si>
  <si>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</si>
  <si>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</si>
  <si>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</si>
  <si>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</si>
  <si>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</si>
  <si>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</si>
  <si>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</si>
  <si>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</si>
  <si>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</si>
  <si>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</si>
  <si>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</si>
  <si>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</si>
  <si>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</si>
  <si>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</si>
  <si>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</si>
  <si>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</si>
  <si>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</si>
  <si>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</si>
  <si>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</si>
  <si>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</si>
  <si>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</si>
  <si>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</si>
  <si>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</si>
  <si>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</si>
  <si>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</si>
  <si>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</si>
  <si>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</si>
  <si>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</si>
  <si>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</si>
  <si>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</si>
  <si>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</si>
  <si>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</si>
  <si>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</si>
  <si>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</si>
  <si>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</si>
  <si>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</si>
  <si>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</si>
  <si>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</si>
  <si>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</si>
  <si>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</si>
  <si>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</si>
  <si>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</si>
  <si>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</si>
  <si>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</si>
  <si>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</si>
  <si>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</si>
  <si>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</si>
  <si>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</si>
  <si>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</si>
  <si>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</si>
  <si>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</si>
  <si>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</si>
  <si>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</si>
  <si>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</si>
  <si>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</si>
  <si>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</si>
  <si>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</si>
  <si>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</si>
  <si>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</si>
  <si>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</si>
  <si>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</si>
  <si>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</si>
  <si>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</si>
  <si>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</si>
  <si>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</si>
  <si>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</si>
  <si>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</si>
  <si>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</si>
  <si>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</si>
  <si>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</si>
  <si>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</si>
  <si>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</si>
  <si>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</si>
  <si>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</si>
  <si>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</si>
  <si>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</si>
  <si>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</si>
  <si>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</si>
  <si>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</si>
  <si>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</si>
  <si>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</si>
  <si>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</si>
  <si>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</si>
  <si>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</si>
  <si>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</si>
  <si>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</si>
  <si>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</si>
  <si>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</si>
  <si>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</si>
  <si>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</si>
  <si>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</si>
  <si>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</si>
  <si>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</si>
  <si>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</si>
  <si>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</si>
  <si>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</si>
  <si>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</si>
  <si>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</si>
  <si>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</si>
  <si>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</si>
  <si>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</si>
  <si>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</si>
  <si>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</si>
  <si>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</si>
  <si>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</si>
  <si>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</si>
  <si>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</si>
  <si>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</si>
  <si>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</si>
  <si>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</si>
  <si>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</si>
  <si>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</si>
  <si>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</si>
  <si>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</si>
  <si>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</si>
  <si>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</si>
  <si>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</si>
  <si>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</si>
  <si>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</si>
  <si>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</si>
  <si>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</si>
  <si>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</si>
  <si>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</si>
  <si>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</si>
  <si>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</si>
  <si>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</si>
  <si>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</si>
  <si>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</si>
  <si>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</si>
  <si>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</si>
  <si>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</si>
  <si>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</si>
  <si>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</si>
  <si>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</si>
  <si>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</si>
  <si>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</si>
  <si>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</si>
  <si>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</si>
  <si>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</si>
  <si>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</si>
  <si>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</si>
  <si>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</si>
  <si>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</si>
  <si>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</si>
  <si>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</si>
  <si>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</si>
  <si>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</si>
  <si>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</si>
  <si>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</si>
  <si>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</si>
  <si>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</si>
  <si>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</si>
  <si>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</si>
  <si>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</si>
  <si>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</si>
  <si>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</si>
  <si>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</si>
  <si>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</si>
  <si>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</si>
  <si>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</si>
  <si>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</si>
  <si>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</si>
  <si>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</si>
  <si>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</si>
  <si>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</si>
  <si>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</si>
  <si>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</si>
  <si>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</si>
  <si>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</si>
  <si>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</si>
  <si>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</si>
  <si>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</si>
  <si>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</si>
  <si>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</si>
  <si>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</si>
  <si>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</si>
  <si>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</si>
  <si>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</si>
  <si>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</si>
  <si>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</si>
  <si>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</si>
  <si>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</si>
  <si>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</si>
  <si>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</si>
  <si>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</si>
  <si>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</si>
  <si>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</si>
  <si>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</si>
  <si>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</si>
  <si>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</si>
  <si>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</si>
  <si>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</si>
  <si>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</si>
  <si>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</si>
  <si>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</si>
  <si>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</si>
  <si>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</si>
  <si>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</si>
  <si>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</si>
  <si>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</si>
  <si>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</si>
  <si>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</si>
  <si>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</si>
  <si>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</si>
  <si>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</si>
  <si>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</si>
  <si>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</si>
  <si>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</si>
  <si>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</si>
  <si>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</si>
  <si>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</si>
  <si>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</si>
  <si>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</si>
  <si>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</si>
  <si>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</si>
  <si>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</si>
  <si>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</si>
  <si>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</si>
  <si>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</si>
  <si>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</si>
  <si>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</si>
  <si>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</si>
  <si>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</si>
  <si>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</si>
  <si>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</si>
  <si>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</si>
  <si>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</si>
  <si>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</si>
  <si>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</si>
  <si>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</si>
  <si>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</si>
  <si>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</si>
  <si>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</si>
  <si>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</si>
  <si>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</si>
  <si>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</si>
  <si>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</si>
  <si>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</si>
  <si>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</si>
  <si>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</si>
  <si>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</si>
  <si>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</si>
  <si>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</si>
  <si>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</si>
  <si>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</si>
  <si>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</si>
  <si>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</si>
  <si>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</si>
  <si>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</si>
  <si>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</si>
  <si>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</si>
  <si>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</si>
  <si>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</si>
  <si>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</si>
  <si>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</si>
  <si>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</si>
  <si>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</si>
  <si>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</si>
  <si>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</si>
  <si>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</si>
  <si>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</si>
  <si>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</si>
  <si>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</si>
  <si>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</si>
  <si>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</si>
  <si>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</si>
  <si>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</si>
  <si>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</si>
  <si>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</si>
  <si>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</si>
  <si>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</si>
  <si>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</si>
  <si>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</si>
  <si>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</si>
  <si>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</si>
  <si>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</si>
  <si>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</si>
  <si>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</si>
  <si>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</si>
  <si>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</si>
  <si>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</si>
  <si>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</si>
  <si>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</si>
  <si>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</si>
  <si>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</si>
  <si>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</si>
  <si>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</si>
  <si>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</si>
  <si>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</si>
  <si>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</si>
  <si>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</si>
  <si>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</si>
  <si>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</si>
  <si>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</si>
  <si>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</si>
  <si>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</si>
  <si>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</si>
  <si>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</si>
  <si>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</si>
  <si>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</si>
  <si>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</si>
  <si>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</si>
  <si>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</si>
  <si>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</si>
  <si>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</si>
  <si>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</si>
  <si>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</si>
  <si>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</si>
  <si>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</si>
  <si>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</si>
  <si>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</si>
  <si>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</si>
  <si>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</si>
  <si>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</si>
  <si>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</si>
  <si>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</si>
  <si>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</si>
  <si>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</si>
  <si>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</si>
  <si>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</si>
  <si>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</si>
  <si>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</si>
  <si>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</si>
  <si>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</si>
  <si>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</si>
  <si>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</si>
  <si>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</si>
  <si>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</si>
  <si>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</si>
  <si>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</si>
  <si>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</si>
  <si>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</si>
  <si>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</si>
  <si>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</si>
  <si>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</si>
  <si>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</si>
  <si>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</si>
  <si>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</si>
  <si>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</si>
  <si>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</si>
  <si>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</si>
  <si>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</si>
  <si>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</si>
  <si>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</si>
  <si>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</si>
  <si>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</si>
  <si>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</si>
  <si>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</si>
  <si>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</si>
  <si>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</si>
  <si>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</si>
  <si>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</si>
  <si>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</si>
  <si>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</si>
  <si>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</si>
  <si>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</si>
  <si>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</si>
  <si>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</si>
  <si>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</si>
  <si>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</si>
  <si>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</si>
  <si>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</si>
  <si>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</si>
  <si>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</si>
  <si>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</si>
  <si>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</si>
  <si>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</si>
  <si>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</si>
  <si>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</si>
  <si>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</si>
  <si>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</si>
  <si>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</si>
  <si>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</si>
  <si>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</si>
  <si>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</si>
  <si>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</si>
  <si>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</si>
  <si>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</si>
  <si>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</si>
  <si>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</si>
  <si>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</si>
  <si>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</si>
  <si>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</si>
  <si>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</si>
  <si>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</si>
  <si>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</si>
  <si>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</si>
  <si>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</si>
  <si>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</si>
  <si>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</si>
  <si>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</si>
  <si>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</si>
  <si>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</si>
  <si>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</si>
  <si>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</si>
  <si>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</si>
  <si>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</si>
  <si>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</si>
  <si>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</si>
  <si>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</si>
  <si>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</si>
  <si>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</si>
  <si>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</si>
  <si>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</si>
  <si>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</si>
  <si>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</si>
  <si>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</si>
  <si>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</si>
  <si>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</si>
  <si>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</si>
  <si>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</si>
  <si>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</si>
  <si>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</si>
  <si>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</si>
  <si>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</si>
  <si>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</si>
  <si>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</si>
  <si>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</si>
  <si>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</si>
  <si>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</si>
  <si>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</si>
  <si>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</si>
  <si>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</si>
  <si>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</si>
  <si>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</si>
  <si>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</si>
  <si>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</si>
  <si>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</si>
  <si>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</si>
  <si>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</si>
  <si>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</si>
  <si>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</si>
  <si>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</si>
  <si>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</si>
  <si>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</si>
  <si>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</si>
  <si>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</si>
  <si>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</si>
  <si>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</si>
  <si>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</si>
  <si>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</si>
  <si>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</si>
  <si>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</si>
  <si>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</si>
  <si>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</si>
  <si>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</si>
  <si>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</si>
  <si>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</si>
  <si>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</si>
  <si>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</si>
  <si>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</si>
  <si>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</si>
  <si>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</si>
  <si>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</si>
  <si>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</si>
  <si>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</si>
  <si>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</si>
  <si>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</si>
  <si>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</si>
  <si>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</si>
  <si>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</si>
  <si>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</si>
  <si>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</si>
  <si>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</si>
  <si>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</si>
  <si>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</si>
  <si>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</si>
  <si>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</si>
  <si>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</si>
  <si>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</si>
  <si>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</si>
  <si>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</si>
  <si>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</si>
  <si>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</si>
  <si>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</si>
  <si>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</si>
  <si>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</si>
  <si>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</si>
  <si>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</si>
  <si>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</si>
  <si>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</si>
  <si>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</si>
  <si>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</si>
  <si>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</si>
  <si>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</si>
  <si>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</si>
  <si>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</si>
  <si>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</si>
  <si>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</si>
  <si>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</si>
  <si>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</si>
  <si>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</si>
  <si>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</si>
  <si>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</si>
  <si>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</si>
  <si>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</si>
  <si>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</si>
  <si>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</si>
  <si>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</si>
  <si>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</si>
  <si>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</si>
  <si>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</si>
  <si>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</si>
  <si>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</si>
  <si>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</si>
  <si>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</si>
  <si>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</si>
  <si>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</si>
  <si>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</si>
  <si>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</si>
  <si>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</si>
  <si>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</si>
  <si>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</si>
  <si>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</si>
  <si>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</si>
  <si>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</si>
  <si>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</si>
  <si>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</si>
  <si>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</si>
  <si>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</si>
  <si>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</si>
  <si>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</si>
  <si>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</si>
  <si>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</si>
  <si>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</si>
  <si>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</si>
  <si>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</si>
  <si>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</si>
  <si>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</si>
  <si>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</si>
  <si>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</si>
  <si>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</si>
  <si>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</si>
  <si>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</si>
  <si>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</si>
  <si>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</si>
  <si>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</si>
  <si>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</si>
  <si>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</si>
  <si>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</si>
  <si>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</si>
  <si>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</si>
  <si>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</si>
  <si>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</si>
  <si>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</si>
  <si>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</si>
  <si>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</si>
  <si>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</si>
  <si>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</si>
  <si>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</si>
  <si>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</si>
  <si>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</si>
  <si>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</si>
  <si>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</si>
  <si>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</si>
  <si>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</si>
  <si>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</si>
  <si>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</si>
  <si>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</si>
  <si>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</si>
  <si>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</si>
  <si>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</si>
  <si>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</si>
  <si>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</si>
  <si>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</si>
  <si>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</si>
  <si>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</si>
  <si>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</si>
  <si>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</si>
  <si>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</si>
  <si>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</si>
  <si>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</si>
  <si>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</si>
  <si>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</si>
  <si>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</si>
  <si>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</si>
  <si>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</si>
  <si>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</si>
  <si>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</si>
  <si>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</si>
  <si>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</si>
  <si>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</si>
  <si>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</si>
  <si>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</si>
  <si>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</si>
  <si>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</si>
  <si>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</si>
  <si>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</si>
  <si>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</si>
  <si>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</si>
  <si>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</si>
  <si>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</si>
  <si>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</si>
  <si>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</si>
  <si>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</si>
  <si>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</si>
  <si>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</si>
  <si>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</si>
  <si>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</si>
  <si>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</si>
  <si>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</si>
  <si>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</si>
  <si>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</si>
  <si>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</si>
  <si>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</si>
  <si>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</si>
  <si>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</si>
  <si>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</si>
  <si>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</si>
  <si>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</si>
  <si>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</si>
  <si>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</si>
  <si>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</si>
  <si>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</si>
  <si>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</si>
  <si>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</si>
  <si>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</si>
  <si>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</si>
  <si>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</si>
  <si>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</si>
  <si>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</si>
  <si>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</si>
  <si>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</si>
  <si>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</si>
  <si>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</si>
  <si>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</si>
  <si>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</si>
  <si>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</si>
  <si>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</si>
  <si>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</si>
  <si>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</si>
  <si>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</si>
  <si>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</si>
  <si>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</si>
  <si>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</si>
  <si>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</si>
  <si>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</si>
  <si>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</si>
  <si>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</si>
  <si>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</si>
  <si>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</si>
  <si>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</si>
  <si>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</si>
  <si>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</si>
  <si>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</si>
  <si>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</si>
  <si>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</si>
  <si>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</si>
  <si>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</si>
  <si>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</si>
  <si>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</si>
  <si>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</si>
  <si>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</si>
  <si>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</si>
  <si>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</si>
  <si>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</si>
  <si>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</si>
  <si>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</si>
  <si>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</si>
  <si>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</si>
  <si>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</si>
  <si>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</si>
  <si>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</si>
  <si>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</si>
  <si>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</si>
  <si>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</si>
  <si>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</si>
  <si>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</si>
  <si>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</si>
  <si>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</si>
  <si>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</si>
  <si>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</si>
  <si>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</si>
  <si>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</si>
  <si>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</si>
  <si>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</si>
  <si>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</si>
  <si>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</si>
  <si>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</si>
  <si>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</si>
  <si>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</si>
  <si>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</si>
  <si>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</si>
  <si>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</si>
  <si>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</si>
  <si>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</si>
  <si>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</si>
  <si>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</si>
  <si>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</si>
  <si>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</si>
  <si>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</si>
  <si>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</si>
  <si>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</si>
  <si>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</si>
  <si>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</si>
  <si>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</si>
  <si>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</si>
  <si>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</si>
  <si>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</si>
  <si>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</si>
  <si>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</si>
  <si>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</si>
  <si>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</si>
  <si>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</si>
  <si>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</si>
  <si>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</si>
  <si>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</si>
  <si>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</si>
  <si>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</si>
  <si>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</si>
  <si>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</si>
  <si>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</si>
  <si>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</si>
  <si>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</si>
  <si>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</si>
  <si>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</si>
  <si>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</si>
  <si>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</si>
  <si>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</si>
  <si>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</si>
  <si>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</si>
  <si>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</si>
  <si>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</si>
  <si>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</si>
  <si>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</si>
  <si>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</si>
  <si>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</si>
  <si>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</si>
  <si>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</si>
  <si>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</si>
  <si>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</si>
  <si>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</si>
  <si>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</si>
  <si>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</si>
  <si>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</si>
  <si>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</si>
  <si>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</si>
  <si>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</si>
  <si>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</si>
  <si>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</si>
  <si>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</si>
  <si>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</si>
  <si>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</si>
  <si>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</si>
  <si>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</si>
  <si>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</si>
  <si>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</si>
  <si>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</si>
  <si>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</si>
  <si>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</si>
  <si>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</si>
  <si>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</si>
  <si>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</si>
  <si>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</si>
  <si>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</si>
  <si>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</si>
  <si>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</si>
  <si>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</si>
  <si>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</si>
  <si>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</si>
  <si>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</si>
  <si>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</si>
  <si>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</si>
  <si>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</si>
  <si>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</si>
  <si>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</si>
  <si>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</si>
  <si>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</si>
  <si>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</si>
  <si>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</si>
  <si>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</si>
  <si>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</si>
  <si>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</si>
  <si>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</si>
  <si>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</si>
  <si>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</si>
  <si>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</si>
  <si>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</si>
  <si>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</si>
  <si>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</si>
  <si>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</si>
  <si>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</si>
  <si>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</si>
  <si>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</si>
  <si>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</si>
  <si>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</si>
  <si>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</si>
  <si>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</si>
  <si>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</si>
  <si>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</si>
  <si>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</si>
  <si>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</si>
  <si>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</si>
  <si>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</si>
  <si>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</si>
  <si>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</si>
  <si>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</si>
  <si>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</si>
  <si>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</si>
  <si>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</si>
  <si>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</si>
  <si>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</si>
  <si>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</si>
  <si>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</si>
  <si>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</si>
  <si>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</si>
  <si>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</si>
  <si>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</si>
  <si>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</si>
  <si>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</si>
  <si>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</si>
  <si>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</si>
  <si>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</si>
  <si>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</si>
  <si>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</si>
  <si>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</si>
  <si>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</si>
  <si>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</si>
  <si>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</si>
  <si>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</si>
  <si>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</si>
  <si>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</si>
  <si>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</si>
  <si>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</si>
  <si>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</si>
  <si>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</si>
  <si>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</si>
  <si>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</si>
  <si>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</si>
  <si>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</si>
  <si>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</si>
  <si>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</si>
  <si>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</si>
  <si>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</si>
  <si>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</si>
  <si>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</si>
  <si>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</si>
  <si>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</si>
  <si>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</si>
  <si>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</si>
  <si>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</si>
  <si>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</si>
  <si>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</si>
  <si>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</si>
  <si>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</si>
  <si>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</si>
  <si>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</si>
  <si>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</si>
  <si>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</si>
  <si>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</si>
  <si>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</si>
  <si>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</si>
  <si>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</si>
  <si>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</si>
  <si>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</si>
  <si>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</si>
  <si>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</si>
  <si>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</si>
  <si>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</si>
  <si>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</si>
  <si>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</si>
  <si>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</si>
  <si>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</si>
  <si>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</si>
  <si>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</si>
  <si>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</si>
  <si>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</si>
  <si>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</si>
  <si>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</si>
  <si>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</si>
  <si>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</si>
  <si>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</si>
  <si>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</si>
  <si>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</si>
  <si>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</si>
  <si>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</si>
  <si>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</si>
  <si>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</si>
  <si>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</si>
  <si>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</si>
  <si>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</si>
  <si>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</si>
  <si>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</si>
  <si>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</si>
  <si>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</si>
  <si>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</si>
  <si>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</si>
  <si>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</si>
  <si>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</si>
  <si>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</si>
  <si>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</si>
  <si>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</si>
  <si>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</si>
  <si>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</si>
  <si>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</si>
  <si>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</si>
  <si>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</si>
  <si>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</si>
  <si>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</si>
  <si>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</si>
  <si>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</si>
  <si>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</si>
  <si>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</si>
  <si>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</si>
  <si>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</si>
  <si>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</si>
  <si>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</si>
  <si>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</si>
  <si>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</si>
  <si>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</si>
  <si>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</si>
  <si>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</si>
  <si>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</si>
  <si>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</si>
  <si>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</si>
  <si>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</si>
  <si>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</si>
  <si>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</si>
  <si>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</si>
  <si>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</si>
  <si>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</si>
  <si>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</si>
  <si>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</si>
  <si>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</si>
  <si>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</si>
  <si>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</si>
  <si>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</si>
  <si>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</si>
  <si>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</si>
  <si>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</si>
  <si>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</si>
  <si>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</si>
  <si>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</si>
  <si>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</si>
  <si>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</si>
  <si>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</si>
  <si>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</si>
  <si>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</si>
  <si>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</si>
  <si>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</si>
  <si>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</si>
  <si>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</si>
  <si>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</si>
  <si>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</si>
  <si>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</si>
  <si>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</si>
  <si>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</si>
  <si>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</si>
  <si>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</si>
  <si>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</si>
  <si>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</si>
  <si>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</si>
  <si>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</si>
  <si>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</si>
  <si>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</si>
  <si>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</si>
  <si>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</si>
  <si>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</si>
  <si>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</si>
  <si>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</si>
  <si>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</si>
  <si>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</si>
  <si>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</si>
  <si>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</si>
  <si>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</si>
  <si>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</si>
  <si>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</si>
  <si>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</si>
  <si>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</si>
  <si>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</si>
  <si>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</si>
  <si>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</si>
  <si>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</si>
  <si>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</si>
  <si>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</si>
  <si>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</si>
  <si>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</si>
  <si>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</si>
  <si>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</si>
  <si>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</si>
  <si>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</si>
  <si>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</si>
  <si>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</si>
  <si>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</si>
  <si>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</si>
  <si>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</si>
  <si>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</si>
  <si>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</si>
  <si>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</si>
  <si>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</si>
  <si>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</si>
  <si>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</si>
  <si>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</si>
  <si>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</si>
  <si>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</si>
  <si>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</si>
  <si>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</si>
  <si>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</si>
  <si>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</si>
  <si>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</si>
  <si>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</si>
  <si>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</si>
  <si>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</si>
  <si>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</si>
  <si>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</si>
  <si>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</si>
  <si>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</si>
  <si>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</si>
  <si>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</si>
  <si>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</si>
  <si>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</si>
  <si>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</si>
  <si>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</si>
  <si>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</si>
  <si>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</si>
  <si>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</si>
  <si>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</si>
  <si>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</si>
  <si>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</si>
  <si>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</si>
  <si>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</si>
  <si>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</si>
  <si>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</si>
  <si>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</si>
  <si>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</si>
  <si>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</si>
  <si>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</si>
  <si>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</si>
  <si>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</si>
  <si>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</si>
  <si>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</si>
  <si>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</si>
  <si>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</si>
  <si>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</si>
  <si>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</si>
  <si>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</si>
  <si>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</si>
  <si>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</si>
  <si>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</si>
  <si>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</si>
  <si>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</si>
  <si>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</si>
  <si>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</si>
  <si>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</si>
  <si>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</si>
  <si>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</si>
  <si>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</si>
  <si>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</si>
  <si>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</si>
  <si>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</si>
  <si>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</si>
  <si>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</si>
  <si>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</si>
  <si>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</si>
  <si>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</si>
  <si>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</si>
  <si>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</si>
  <si>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</si>
  <si>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</si>
  <si>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</si>
  <si>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</si>
  <si>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</si>
  <si>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</si>
  <si>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</si>
  <si>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</si>
  <si>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</si>
  <si>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</si>
  <si>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</si>
  <si>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</si>
  <si>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</si>
  <si>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</si>
  <si>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</si>
  <si>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</si>
  <si>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</si>
  <si>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</si>
  <si>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</si>
  <si>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</si>
  <si>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</si>
  <si>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</si>
  <si>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</si>
  <si>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</si>
  <si>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</si>
  <si>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</si>
  <si>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</si>
  <si>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</si>
  <si>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</si>
  <si>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</si>
  <si>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</si>
  <si>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</si>
  <si>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</si>
  <si>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</si>
  <si>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</si>
  <si>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</si>
  <si>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</si>
  <si>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</si>
  <si>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</si>
  <si>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</si>
  <si>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</si>
  <si>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</si>
  <si>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</si>
  <si>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</si>
  <si>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</si>
  <si>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</si>
  <si>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</si>
  <si>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</si>
  <si>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</si>
  <si>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</si>
  <si>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</si>
  <si>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</si>
  <si>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</si>
  <si>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</si>
  <si>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</si>
  <si>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</si>
  <si>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</si>
  <si>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</si>
  <si>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</si>
  <si>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</si>
  <si>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</si>
  <si>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</si>
  <si>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</si>
  <si>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</si>
  <si>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</si>
  <si>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</si>
  <si>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</si>
  <si>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</si>
  <si>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</si>
  <si>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</si>
  <si>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</si>
  <si>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</si>
  <si>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</si>
  <si>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</si>
  <si>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</si>
  <si>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</si>
  <si>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</si>
  <si>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</si>
  <si>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</si>
  <si>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</si>
  <si>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</si>
  <si>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</si>
  <si>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</si>
  <si>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</si>
  <si>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</si>
  <si>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</si>
  <si>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</si>
  <si>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</si>
  <si>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</si>
  <si>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</si>
  <si>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</si>
  <si>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</si>
  <si>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</si>
  <si>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</si>
  <si>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</si>
  <si>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</si>
  <si>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</si>
  <si>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</si>
  <si>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</si>
  <si>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</si>
  <si>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</si>
  <si>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</si>
  <si>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</si>
  <si>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</si>
  <si>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</si>
  <si>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</si>
  <si>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</si>
  <si>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</si>
  <si>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</si>
  <si>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</si>
  <si>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</si>
  <si>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</si>
  <si>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</si>
  <si>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</si>
  <si>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</si>
  <si>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</si>
  <si>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</si>
  <si>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</si>
  <si>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</si>
  <si>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</si>
  <si>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</si>
  <si>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</si>
  <si>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</si>
  <si>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</si>
  <si>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</si>
  <si>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</si>
  <si>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</si>
  <si>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</si>
  <si>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</si>
  <si>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</si>
  <si>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</si>
  <si>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</si>
  <si>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</si>
  <si>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</si>
  <si>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</si>
  <si>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</si>
  <si>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</si>
  <si>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</si>
  <si>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</si>
  <si>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</si>
  <si>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</si>
  <si>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</si>
  <si>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</si>
  <si>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</si>
  <si>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</si>
  <si>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</si>
  <si>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</si>
  <si>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</si>
  <si>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</si>
  <si>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</si>
  <si>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</si>
  <si>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</si>
  <si>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</si>
  <si>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</si>
  <si>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</si>
  <si>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</si>
  <si>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</si>
  <si>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</si>
  <si>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</si>
  <si>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</si>
  <si>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</si>
  <si>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</si>
  <si>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</si>
  <si>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</si>
  <si>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</si>
  <si>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</si>
  <si>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</si>
  <si>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</si>
  <si>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</si>
  <si>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</si>
  <si>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</si>
  <si>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</si>
  <si>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</si>
  <si>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</si>
  <si>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</si>
  <si>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</si>
  <si>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</si>
  <si>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</si>
  <si>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</si>
  <si>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</si>
  <si>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</si>
  <si>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</si>
  <si>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</si>
  <si>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</si>
  <si>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</si>
  <si>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</si>
  <si>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</si>
  <si>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</si>
  <si>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</si>
  <si>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</si>
  <si>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</si>
  <si>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</si>
  <si>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</si>
  <si>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</si>
  <si>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</si>
  <si>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</si>
  <si>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</si>
  <si>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</si>
  <si>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</si>
  <si>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</si>
  <si>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</si>
  <si>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</si>
  <si>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</si>
  <si>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</si>
  <si>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</si>
  <si>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</si>
  <si>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</si>
  <si>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</si>
  <si>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</si>
  <si>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</si>
  <si>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</si>
  <si>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</si>
  <si>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</si>
  <si>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</si>
  <si>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</si>
  <si>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</si>
  <si>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</si>
  <si>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</si>
  <si>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</si>
  <si>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</si>
  <si>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</si>
  <si>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</si>
  <si>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</si>
  <si>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</si>
  <si>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</si>
  <si>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</si>
  <si>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</si>
  <si>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</si>
  <si>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</si>
  <si>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</si>
  <si>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</si>
  <si>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</si>
  <si>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</si>
  <si>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</si>
  <si>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</si>
  <si>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</si>
  <si>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</si>
  <si>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</si>
  <si>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</si>
  <si>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</si>
  <si>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</si>
  <si>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</si>
  <si>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</si>
  <si>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</si>
  <si>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</si>
  <si>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</si>
  <si>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</si>
  <si>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</si>
  <si>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</si>
  <si>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</si>
  <si>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</si>
  <si>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</si>
  <si>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</si>
  <si>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</si>
  <si>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</si>
  <si>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</si>
  <si>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</si>
  <si>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</si>
  <si>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</si>
  <si>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</si>
  <si>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</si>
  <si>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</si>
  <si>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</si>
  <si>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</si>
  <si>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</si>
  <si>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</si>
  <si>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</si>
  <si>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</si>
  <si>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</si>
  <si>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</si>
  <si>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</si>
  <si>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</si>
  <si>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</si>
  <si>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</si>
  <si>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</si>
  <si>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</si>
  <si>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</si>
  <si>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</si>
  <si>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</si>
  <si>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</si>
  <si>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</si>
  <si>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</si>
  <si>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</si>
  <si>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</si>
  <si>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</si>
  <si>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</si>
  <si>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</si>
  <si>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</si>
  <si>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</si>
  <si>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</si>
  <si>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</si>
  <si>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</si>
  <si>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</si>
  <si>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</si>
  <si>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</si>
  <si>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</si>
  <si>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</si>
  <si>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</si>
  <si>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</si>
  <si>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</si>
  <si>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</si>
  <si>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</si>
  <si>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</si>
  <si>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</si>
  <si>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</si>
  <si>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</si>
  <si>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</si>
  <si>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</si>
  <si>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</si>
  <si>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</si>
  <si>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</si>
  <si>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</si>
  <si>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</si>
  <si>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</si>
  <si>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</si>
  <si>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</si>
  <si>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</si>
  <si>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</si>
  <si>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</si>
  <si>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</si>
  <si>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</si>
  <si>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</si>
  <si>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</si>
  <si>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</si>
  <si>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</si>
  <si>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</si>
  <si>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</si>
  <si>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</si>
  <si>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</si>
  <si>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</si>
  <si>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</si>
  <si>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</si>
  <si>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</si>
  <si>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</si>
  <si>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</si>
  <si>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</si>
  <si>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</si>
  <si>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</si>
  <si>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</si>
  <si>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</si>
  <si>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</si>
  <si>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</si>
  <si>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</si>
  <si>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</si>
  <si>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</si>
  <si>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</si>
  <si>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</si>
  <si>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</si>
  <si>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</si>
  <si>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</si>
  <si>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</si>
  <si>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</si>
  <si>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</si>
  <si>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</si>
  <si>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</si>
  <si>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</si>
  <si>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</si>
  <si>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</si>
  <si>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</si>
  <si>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</si>
  <si>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</si>
  <si>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</si>
  <si>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</si>
  <si>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</si>
  <si>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</si>
  <si>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</si>
  <si>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</si>
  <si>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</si>
  <si>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</si>
  <si>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</si>
  <si>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</si>
  <si>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</si>
  <si>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</si>
  <si>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</si>
  <si>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</si>
  <si>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</si>
  <si>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</si>
  <si>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</si>
  <si>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</si>
  <si>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</si>
  <si>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</si>
  <si>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</si>
  <si>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</si>
  <si>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</si>
  <si>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</si>
  <si>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</si>
  <si>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</si>
  <si>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</si>
  <si>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</si>
  <si>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</si>
  <si>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</si>
  <si>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</si>
  <si>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</si>
  <si>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</si>
  <si>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</si>
  <si>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</si>
  <si>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</si>
  <si>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</si>
  <si>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</si>
  <si>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</si>
  <si>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</si>
  <si>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</si>
  <si>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</si>
  <si>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</si>
  <si>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</si>
  <si>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</si>
  <si>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</si>
  <si>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</si>
  <si>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</si>
  <si>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</si>
  <si>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</si>
  <si>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</si>
  <si>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</si>
  <si>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</si>
  <si>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</si>
  <si>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</si>
  <si>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</si>
  <si>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</si>
  <si>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</si>
  <si>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</si>
  <si>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</si>
  <si>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</si>
  <si>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</si>
  <si>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</si>
  <si>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</si>
  <si>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</si>
  <si>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</si>
  <si>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</si>
  <si>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</si>
  <si>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</si>
  <si>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</si>
  <si>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</si>
  <si>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</si>
  <si>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</si>
  <si>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</si>
  <si>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</si>
  <si>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</si>
  <si>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</si>
  <si>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</si>
  <si>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</si>
  <si>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</si>
  <si>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</si>
  <si>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</si>
  <si>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</si>
  <si>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</si>
  <si>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</si>
  <si>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</si>
  <si>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</si>
  <si>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</si>
  <si>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</si>
  <si>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</si>
  <si>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</si>
  <si>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</si>
  <si>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</si>
  <si>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</si>
  <si>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</si>
  <si>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</si>
  <si>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</si>
  <si>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</si>
  <si>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</si>
  <si>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</si>
  <si>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</si>
  <si>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</si>
  <si>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</si>
  <si>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</si>
  <si>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</si>
  <si>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</si>
  <si>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</si>
  <si>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</si>
  <si>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</si>
  <si>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</si>
  <si>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</si>
  <si>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</si>
  <si>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</si>
  <si>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</si>
  <si>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</si>
  <si>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</si>
  <si>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</si>
  <si>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</si>
  <si>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</si>
  <si>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</si>
  <si>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</si>
  <si>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</si>
  <si>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</si>
  <si>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</si>
  <si>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</si>
  <si>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</si>
  <si>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</si>
  <si>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</si>
  <si>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</si>
  <si>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</si>
  <si>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</si>
  <si>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</si>
  <si>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</si>
  <si>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</si>
  <si>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</si>
  <si>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</si>
  <si>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</si>
  <si>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</si>
  <si>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</si>
  <si>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</si>
  <si>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</si>
  <si>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</si>
  <si>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</si>
  <si>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</si>
  <si>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</si>
  <si>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</si>
  <si>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</si>
  <si>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</si>
  <si>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</si>
  <si>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</si>
  <si>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</si>
  <si>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</si>
  <si>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</si>
  <si>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</si>
  <si>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</si>
  <si>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</si>
  <si>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</si>
  <si>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</si>
  <si>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</si>
  <si>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</si>
  <si>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</si>
  <si>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</si>
  <si>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</si>
  <si>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</si>
  <si>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</si>
  <si>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</si>
  <si>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</si>
  <si>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</si>
  <si>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</si>
  <si>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</si>
  <si>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</si>
  <si>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</si>
  <si>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</si>
  <si>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</si>
  <si>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</si>
  <si>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</si>
  <si>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</si>
  <si>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</si>
  <si>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</si>
  <si>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</si>
  <si>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</si>
  <si>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</si>
  <si>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</si>
  <si>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</si>
  <si>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</si>
  <si>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</si>
  <si>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</si>
  <si>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</si>
  <si>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</si>
  <si>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</si>
  <si>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</si>
  <si>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</si>
  <si>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</si>
  <si>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</si>
  <si>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</si>
  <si>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</si>
  <si>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</si>
  <si>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</si>
  <si>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</si>
  <si>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</si>
  <si>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</si>
  <si>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</si>
  <si>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</si>
  <si>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</si>
  <si>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</si>
  <si>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</si>
  <si>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</si>
  <si>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</si>
  <si>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</si>
  <si>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</si>
  <si>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</si>
  <si>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</si>
  <si>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</si>
  <si>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</si>
  <si>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</si>
  <si>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</si>
  <si>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</si>
  <si>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</si>
  <si>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</si>
  <si>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</si>
  <si>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</si>
  <si>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</si>
  <si>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</si>
  <si>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</si>
  <si>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</si>
  <si>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</si>
  <si>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</si>
  <si>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</si>
  <si>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</si>
  <si>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</si>
  <si>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</si>
  <si>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</si>
  <si>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</si>
  <si>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</si>
  <si>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</si>
  <si>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</si>
  <si>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</si>
  <si>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</si>
  <si>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</si>
  <si>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</si>
  <si>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</si>
  <si>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</si>
  <si>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</si>
  <si>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</si>
  <si>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</si>
  <si>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</si>
  <si>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</si>
  <si>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</si>
  <si>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</si>
  <si>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</si>
  <si>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</si>
  <si>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</si>
  <si>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</si>
  <si>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</si>
  <si>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</si>
  <si>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</si>
  <si>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</si>
  <si>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</si>
  <si>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</si>
  <si>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</si>
  <si>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</si>
  <si>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</si>
  <si>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</si>
  <si>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</si>
  <si>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</si>
  <si>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</si>
  <si>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</si>
  <si>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</si>
  <si>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</si>
  <si>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</si>
  <si>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</si>
  <si>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</si>
  <si>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</si>
  <si>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</si>
  <si>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</si>
  <si>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</si>
  <si>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</si>
  <si>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</si>
  <si>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</si>
  <si>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</si>
  <si>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</si>
  <si>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</si>
  <si>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</si>
  <si>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</si>
  <si>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</si>
  <si>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</si>
  <si>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</si>
  <si>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</si>
  <si>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</si>
  <si>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</si>
  <si>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</si>
  <si>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</si>
  <si>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</si>
  <si>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</si>
  <si>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</si>
  <si>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</si>
  <si>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</si>
  <si>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</si>
  <si>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</si>
  <si>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</si>
  <si>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</si>
  <si>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</si>
  <si>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</si>
  <si>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</si>
  <si>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</si>
  <si>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</si>
  <si>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</si>
  <si>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</si>
  <si>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</si>
  <si>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</si>
  <si>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</si>
  <si>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</si>
  <si>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</si>
  <si>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</si>
  <si>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</si>
  <si>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</si>
  <si>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</si>
  <si>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</si>
  <si>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</si>
  <si>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</si>
  <si>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</si>
  <si>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</si>
  <si>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</si>
  <si>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</si>
  <si>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</si>
  <si>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</si>
  <si>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</si>
  <si>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</si>
  <si>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</si>
  <si>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</si>
  <si>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</si>
  <si>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</si>
  <si>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</si>
  <si>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</si>
  <si>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</si>
  <si>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</si>
  <si>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</si>
  <si>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</si>
  <si>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</si>
  <si>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</si>
  <si>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</si>
  <si>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</si>
  <si>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</si>
  <si>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</si>
  <si>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</si>
  <si>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</si>
  <si>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</si>
  <si>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</si>
  <si>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</si>
  <si>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</si>
  <si>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</si>
  <si>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</si>
  <si>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</si>
  <si>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</si>
  <si>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</si>
  <si>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</si>
  <si>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</si>
  <si>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</si>
  <si>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</si>
  <si>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</si>
  <si>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</si>
  <si>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</si>
  <si>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</si>
  <si>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</si>
  <si>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</si>
  <si>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</si>
  <si>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</si>
  <si>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</si>
  <si>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</si>
  <si>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</si>
  <si>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</si>
  <si>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</si>
  <si>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</si>
  <si>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</si>
  <si>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</si>
  <si>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</si>
  <si>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</si>
  <si>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</si>
  <si>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</si>
  <si>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</si>
  <si>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</si>
  <si>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</si>
  <si>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</si>
  <si>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</si>
  <si>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</si>
  <si>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</si>
  <si>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</si>
  <si>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</si>
  <si>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</si>
  <si>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</si>
  <si>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</si>
  <si>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</si>
  <si>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</si>
  <si>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</si>
  <si>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</si>
  <si>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</si>
  <si>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</si>
  <si>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</si>
  <si>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</si>
  <si>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</si>
  <si>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</si>
  <si>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</si>
  <si>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</si>
  <si>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</si>
  <si>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</si>
  <si>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</si>
  <si>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</si>
  <si>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</si>
  <si>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</si>
  <si>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</si>
  <si>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</si>
  <si>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</si>
  <si>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</si>
  <si>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</si>
  <si>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</si>
  <si>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</si>
  <si>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</si>
  <si>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</si>
  <si>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</si>
  <si>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</si>
  <si>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</si>
  <si>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</si>
  <si>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</si>
  <si>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</si>
  <si>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</si>
  <si>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</si>
  <si>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</si>
  <si>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</si>
  <si>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</si>
  <si>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</si>
  <si>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</si>
  <si>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</si>
  <si>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</si>
  <si>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</si>
  <si>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</si>
  <si>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</si>
  <si>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</si>
  <si>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</si>
  <si>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</si>
  <si>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</si>
  <si>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</si>
  <si>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</si>
  <si>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</si>
  <si>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</si>
  <si>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</si>
  <si>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</si>
  <si>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</si>
  <si>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</si>
  <si>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</si>
  <si>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</si>
  <si>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</si>
  <si>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</si>
  <si>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</si>
  <si>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</si>
  <si>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</si>
  <si>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</si>
  <si>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</si>
  <si>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</si>
  <si>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</si>
  <si>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</si>
  <si>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</si>
  <si>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</si>
  <si>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</si>
  <si>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</si>
  <si>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</si>
  <si>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</si>
  <si>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</si>
  <si>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</si>
  <si>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</si>
  <si>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</si>
  <si>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</si>
  <si>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</si>
  <si>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</si>
  <si>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</si>
  <si>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</si>
  <si>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</si>
  <si>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</si>
  <si>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</si>
  <si>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</si>
  <si>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</si>
  <si>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</si>
  <si>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</si>
  <si>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</si>
  <si>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</si>
  <si>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</si>
  <si>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</si>
  <si>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</si>
  <si>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</si>
  <si>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</si>
  <si>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</si>
  <si>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</si>
  <si>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</si>
  <si>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</si>
  <si>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</si>
  <si>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</si>
  <si>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</si>
  <si>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</si>
  <si>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</si>
  <si>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</si>
  <si>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</si>
  <si>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</si>
  <si>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</si>
  <si>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</si>
  <si>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</si>
  <si>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</si>
  <si>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</si>
  <si>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</si>
  <si>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</si>
  <si>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</si>
  <si>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</si>
  <si>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</si>
  <si>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</si>
  <si>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</si>
  <si>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</si>
  <si>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</si>
  <si>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</si>
  <si>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</si>
  <si>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</si>
  <si>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</si>
  <si>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</si>
  <si>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</si>
  <si>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</si>
  <si>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</si>
  <si>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</si>
  <si>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</si>
  <si>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</si>
  <si>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</si>
  <si>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</si>
  <si>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</si>
  <si>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</si>
  <si>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</si>
  <si>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</si>
  <si>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</si>
  <si>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</si>
  <si>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</si>
  <si>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</si>
  <si>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</si>
  <si>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</si>
  <si>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</si>
  <si>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</si>
  <si>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</si>
  <si>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</si>
  <si>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</si>
  <si>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</si>
  <si>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</si>
  <si>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</si>
  <si>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</si>
  <si>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</si>
  <si>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</si>
  <si>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</si>
  <si>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</si>
  <si>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</si>
  <si>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</si>
  <si>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</si>
  <si>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</si>
  <si>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</si>
  <si>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</si>
  <si>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</si>
  <si>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</si>
  <si>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</si>
  <si>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</si>
  <si>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</si>
  <si>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</si>
  <si>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</si>
  <si>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</si>
  <si>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</si>
  <si>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</si>
  <si>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</si>
  <si>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</si>
  <si>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</si>
  <si>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</si>
  <si>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</si>
  <si>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</si>
  <si>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</si>
  <si>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</si>
  <si>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</si>
  <si>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</si>
  <si>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</si>
  <si>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</si>
  <si>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</si>
  <si>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</si>
  <si>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</si>
  <si>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</si>
  <si>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</si>
  <si>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</si>
  <si>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</si>
  <si>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</si>
  <si>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</si>
  <si>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</si>
  <si>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</si>
  <si>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</si>
  <si>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</si>
  <si>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</si>
  <si>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</si>
  <si>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</si>
  <si>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</si>
  <si>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</si>
  <si>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</si>
  <si>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</si>
  <si>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</si>
  <si>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</si>
  <si>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</si>
  <si>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</si>
  <si>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</si>
  <si>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</si>
  <si>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</si>
  <si>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</si>
  <si>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</si>
  <si>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</si>
  <si>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</si>
  <si>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</si>
  <si>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</si>
  <si>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</si>
  <si>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</si>
  <si>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</si>
  <si>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</si>
  <si>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</si>
  <si>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</si>
  <si>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</si>
  <si>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</si>
  <si>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</si>
  <si>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</si>
  <si>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</si>
  <si>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</si>
  <si>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</si>
  <si>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</si>
  <si>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</si>
  <si>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</si>
  <si>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</si>
  <si>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</si>
  <si>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</si>
  <si>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</si>
  <si>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</si>
  <si>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</si>
  <si>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</si>
  <si>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</si>
  <si>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</si>
  <si>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</si>
  <si>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</si>
  <si>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</si>
  <si>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</si>
  <si>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</si>
  <si>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</si>
  <si>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</si>
  <si>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</si>
  <si>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</si>
  <si>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</si>
  <si>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</si>
  <si>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</si>
  <si>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</si>
  <si>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</si>
  <si>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</si>
  <si>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</si>
  <si>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</si>
  <si>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</si>
  <si>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</si>
  <si>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</si>
  <si>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</si>
  <si>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</si>
  <si>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</si>
  <si>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</si>
  <si>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</si>
  <si>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</si>
  <si>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</si>
  <si>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</si>
  <si>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</si>
  <si>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</si>
  <si>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</si>
  <si>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</si>
  <si>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</si>
  <si>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</si>
  <si>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</si>
  <si>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</si>
  <si>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</si>
  <si>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</si>
  <si>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</si>
  <si>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</si>
  <si>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</si>
  <si>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</si>
  <si>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</si>
  <si>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</si>
  <si>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</si>
  <si>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</si>
  <si>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</si>
  <si>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</si>
  <si>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</si>
  <si>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</si>
  <si>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</si>
  <si>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</si>
  <si>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</si>
  <si>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</si>
  <si>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</si>
  <si>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</si>
  <si>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</si>
  <si>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</si>
  <si>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</si>
  <si>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</si>
  <si>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</si>
  <si>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</si>
  <si>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</si>
  <si>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</si>
  <si>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</si>
  <si>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</si>
  <si>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</si>
  <si>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</si>
  <si>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</si>
  <si>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</si>
  <si>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</si>
  <si>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</si>
  <si>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</si>
  <si>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</si>
  <si>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</si>
  <si>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</si>
  <si>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</si>
  <si>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</si>
  <si>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</si>
  <si>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</si>
  <si>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</si>
  <si>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</si>
  <si>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</si>
  <si>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</si>
  <si>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</si>
  <si>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</si>
  <si>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</si>
  <si>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</si>
  <si>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</si>
  <si>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</si>
  <si>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</si>
  <si>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</si>
  <si>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</si>
  <si>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</si>
  <si>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</si>
  <si>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</si>
  <si>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</si>
  <si>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</si>
  <si>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</si>
  <si>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</si>
  <si>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</si>
  <si>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</si>
  <si>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</si>
  <si>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</si>
  <si>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</si>
  <si>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</si>
  <si>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</si>
  <si>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</si>
  <si>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</si>
  <si>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</si>
  <si>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</si>
  <si>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</si>
  <si>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</si>
  <si>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</si>
  <si>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</si>
  <si>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</si>
  <si>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</si>
  <si>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</si>
  <si>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</si>
  <si>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</si>
  <si>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</si>
  <si>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</si>
  <si>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</si>
  <si>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</si>
  <si>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</si>
  <si>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</si>
  <si>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</si>
  <si>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</si>
  <si>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</si>
  <si>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</si>
  <si>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</si>
  <si>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</si>
  <si>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</si>
  <si>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</si>
  <si>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</si>
  <si>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</si>
  <si>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</si>
  <si>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</si>
  <si>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</si>
  <si>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</si>
  <si>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</si>
  <si>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</si>
  <si>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</si>
  <si>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</si>
  <si>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</si>
  <si>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</si>
  <si>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</si>
  <si>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</si>
  <si>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</si>
  <si>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</si>
  <si>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</si>
  <si>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</si>
  <si>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</si>
  <si>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</si>
  <si>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</si>
  <si>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</si>
  <si>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</si>
  <si>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</si>
  <si>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</si>
  <si>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</si>
  <si>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</si>
  <si>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</si>
  <si>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</si>
  <si>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</si>
  <si>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</si>
  <si>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</si>
  <si>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</si>
  <si>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</si>
  <si>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</si>
  <si>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</si>
  <si>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</si>
  <si>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</si>
  <si>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</si>
  <si>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</si>
  <si>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</si>
  <si>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</si>
  <si>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</si>
  <si>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</si>
  <si>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</si>
  <si>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</si>
  <si>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</si>
  <si>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</si>
  <si>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</si>
  <si>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</si>
  <si>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</si>
  <si>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</si>
  <si>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</si>
  <si>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</si>
  <si>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</si>
  <si>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</si>
  <si>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</si>
  <si>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</si>
  <si>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</si>
  <si>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</si>
  <si>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</si>
  <si>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</si>
  <si>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</si>
  <si>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</si>
  <si>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</si>
  <si>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</si>
  <si>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</si>
  <si>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</si>
  <si>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</si>
  <si>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</si>
  <si>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</si>
  <si>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</si>
  <si>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</si>
  <si>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</si>
  <si>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</si>
  <si>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</si>
  <si>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</si>
  <si>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</si>
  <si>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</si>
  <si>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</si>
  <si>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</si>
  <si>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</si>
  <si>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</si>
  <si>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</si>
  <si>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</si>
  <si>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</si>
  <si>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</si>
  <si>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</si>
  <si>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</si>
  <si>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</si>
  <si>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</si>
  <si>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</si>
  <si>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</si>
  <si>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</si>
  <si>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</si>
  <si>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</si>
  <si>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</si>
  <si>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</si>
  <si>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</si>
  <si>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</si>
  <si>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</si>
  <si>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</si>
  <si>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</si>
  <si>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</si>
  <si>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</si>
  <si>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</si>
  <si>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</si>
  <si>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</si>
  <si>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</si>
  <si>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</si>
  <si>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</si>
  <si>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</si>
  <si>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</si>
  <si>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</si>
  <si>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</si>
  <si>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</si>
  <si>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</si>
  <si>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</si>
  <si>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</si>
  <si>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</si>
  <si>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</si>
  <si>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</si>
  <si>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</si>
  <si>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</si>
  <si>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</si>
  <si>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</si>
  <si>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</si>
  <si>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</si>
  <si>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</si>
  <si>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</si>
  <si>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</si>
  <si>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</si>
  <si>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</si>
  <si>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</si>
  <si>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</si>
  <si>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</si>
  <si>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</si>
  <si>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</si>
  <si>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</si>
  <si>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</si>
  <si>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</si>
  <si>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</si>
  <si>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</si>
  <si>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</si>
  <si>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</si>
  <si>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</si>
  <si>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</si>
  <si>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</si>
  <si>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</si>
  <si>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</si>
  <si>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</si>
  <si>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</si>
  <si>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</si>
  <si>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</si>
  <si>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</si>
  <si>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</si>
  <si>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</si>
  <si>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</si>
  <si>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</si>
  <si>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</si>
  <si>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</si>
  <si>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</si>
  <si>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</si>
  <si>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</si>
  <si>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</si>
  <si>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</si>
  <si>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</si>
  <si>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</si>
  <si>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</si>
  <si>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</si>
  <si>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</si>
  <si>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</si>
  <si>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</si>
  <si>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</si>
  <si>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</si>
  <si>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</si>
  <si>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</si>
  <si>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</si>
  <si>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</si>
  <si>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</si>
  <si>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</si>
  <si>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</si>
  <si>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</si>
  <si>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</si>
  <si>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</si>
  <si>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</si>
  <si>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</si>
  <si>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</si>
  <si>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</si>
  <si>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</si>
  <si>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</si>
  <si>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</si>
  <si>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</si>
  <si>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</si>
  <si>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</si>
  <si>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</si>
  <si>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</si>
  <si>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</si>
  <si>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</si>
  <si>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</si>
  <si>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</si>
  <si>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</si>
  <si>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</si>
  <si>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</si>
  <si>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</si>
  <si>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</si>
  <si>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</si>
  <si>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</si>
  <si>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</si>
  <si>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</si>
  <si>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</si>
  <si>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</si>
  <si>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</si>
  <si>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</si>
  <si>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</si>
  <si>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</si>
  <si>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</si>
  <si>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</si>
  <si>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</si>
  <si>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</si>
  <si>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</si>
  <si>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</si>
  <si>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</si>
  <si>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</si>
  <si>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</si>
  <si>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</si>
  <si>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</si>
  <si>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</si>
  <si>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</si>
  <si>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</si>
  <si>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</si>
  <si>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</si>
  <si>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</si>
  <si>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</si>
  <si>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</si>
  <si>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</si>
  <si>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</si>
  <si>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</si>
  <si>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</si>
  <si>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</si>
  <si>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</si>
  <si>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</si>
  <si>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</si>
  <si>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</si>
  <si>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</si>
  <si>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</si>
  <si>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</si>
  <si>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</si>
  <si>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</si>
  <si>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</si>
  <si>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</si>
  <si>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</si>
  <si>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</si>
  <si>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</si>
  <si>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</si>
  <si>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</si>
  <si>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</si>
  <si>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</si>
  <si>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</si>
  <si>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</si>
  <si>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</si>
  <si>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</si>
  <si>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</si>
  <si>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</si>
  <si>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</si>
  <si>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</si>
  <si>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</si>
  <si>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</si>
  <si>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</si>
  <si>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</si>
  <si>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</si>
  <si>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</si>
  <si>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</si>
  <si>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</si>
  <si>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</si>
  <si>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</si>
  <si>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</si>
  <si>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</si>
  <si>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</si>
  <si>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</si>
  <si>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</si>
  <si>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</si>
  <si>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</si>
  <si>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</si>
  <si>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</si>
  <si>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</si>
  <si>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</si>
  <si>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</si>
  <si>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</si>
  <si>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</si>
  <si>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</si>
  <si>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</si>
  <si>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</si>
  <si>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</si>
  <si>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</si>
  <si>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</si>
  <si>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</si>
  <si>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</si>
  <si>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</si>
  <si>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</si>
  <si>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</si>
  <si>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</si>
  <si>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</si>
  <si>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</si>
  <si>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</si>
  <si>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</si>
  <si>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</si>
  <si>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</si>
  <si>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</si>
  <si>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</si>
  <si>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</si>
  <si>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</si>
  <si>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</si>
  <si>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</si>
  <si>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</si>
  <si>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</si>
  <si>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</si>
  <si>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</si>
  <si>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</si>
  <si>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</si>
  <si>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</si>
  <si>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</si>
  <si>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</si>
  <si>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</si>
  <si>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</si>
  <si>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</si>
  <si>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</si>
  <si>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</si>
  <si>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</si>
  <si>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</si>
  <si>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</si>
  <si>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</si>
  <si>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</si>
  <si>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</si>
  <si>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</si>
  <si>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</si>
  <si>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</si>
  <si>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</si>
  <si>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</si>
  <si>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</si>
  <si>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</si>
  <si>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</si>
  <si>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</si>
  <si>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</si>
  <si>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</si>
  <si>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</si>
  <si>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</si>
  <si>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</si>
  <si>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</si>
  <si>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</si>
  <si>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</si>
  <si>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</si>
  <si>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</si>
  <si>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</si>
  <si>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</si>
  <si>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</si>
  <si>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</si>
  <si>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</si>
  <si>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</si>
  <si>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</si>
  <si>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</si>
  <si>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</si>
  <si>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</si>
  <si>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</si>
  <si>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</si>
  <si>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</si>
  <si>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</si>
  <si>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</si>
  <si>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</si>
  <si>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</si>
  <si>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</si>
  <si>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</si>
  <si>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</si>
  <si>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</si>
  <si>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</si>
  <si>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</si>
  <si>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</si>
  <si>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</si>
  <si>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</si>
  <si>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</si>
  <si>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</si>
  <si>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</si>
  <si>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</si>
  <si>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</si>
  <si>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</si>
  <si>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</si>
  <si>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</si>
  <si>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</si>
  <si>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</si>
  <si>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</si>
  <si>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</si>
  <si>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</si>
  <si>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</si>
  <si>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</si>
  <si>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</si>
  <si>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</si>
  <si>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</si>
  <si>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</si>
  <si>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</si>
  <si>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</si>
  <si>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</si>
  <si>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</si>
  <si>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</si>
  <si>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</si>
  <si>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</si>
  <si>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</si>
  <si>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</si>
  <si>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</si>
  <si>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</si>
  <si>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</si>
  <si>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</si>
  <si>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</si>
  <si>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</si>
  <si>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</si>
  <si>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</si>
  <si>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</si>
  <si>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</si>
  <si>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</si>
  <si>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</si>
  <si>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</si>
  <si>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</si>
  <si>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</si>
  <si>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</si>
  <si>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</si>
  <si>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</si>
  <si>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</si>
  <si>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</si>
  <si>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</si>
  <si>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</si>
  <si>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</si>
  <si>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</si>
  <si>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</si>
  <si>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</si>
  <si>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</si>
  <si>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</si>
  <si>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</si>
  <si>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</si>
  <si>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</si>
  <si>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</si>
  <si>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</si>
  <si>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</si>
  <si>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</si>
  <si>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</si>
  <si>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</si>
  <si>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</si>
  <si>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</si>
  <si>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</si>
  <si>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</si>
  <si>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</si>
  <si>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</si>
  <si>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</si>
  <si>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</si>
  <si>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</si>
  <si>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</si>
  <si>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</si>
  <si>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</si>
  <si>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</si>
  <si>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</si>
  <si>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</si>
  <si>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</si>
  <si>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</si>
  <si>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</si>
  <si>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</si>
  <si>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</si>
  <si>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</si>
  <si>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</si>
  <si>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</si>
  <si>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</si>
  <si>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</si>
  <si>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</si>
  <si>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</si>
  <si>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</si>
  <si>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</si>
  <si>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</si>
  <si>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</si>
  <si>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</si>
  <si>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</si>
  <si>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</si>
  <si>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</si>
  <si>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</si>
  <si>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</si>
  <si>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</si>
  <si>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</si>
  <si>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</si>
  <si>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</si>
  <si>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</si>
  <si>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</si>
  <si>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</si>
  <si>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</si>
  <si>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</si>
  <si>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</si>
  <si>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</si>
  <si>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</si>
  <si>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</si>
  <si>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</si>
  <si>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</si>
  <si>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</si>
  <si>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</si>
  <si>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</si>
  <si>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</si>
  <si>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</si>
  <si>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</si>
  <si>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</si>
  <si>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</si>
  <si>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</si>
  <si>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</si>
  <si>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</si>
  <si>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</si>
  <si>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</si>
  <si>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</si>
  <si>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</si>
  <si>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</si>
  <si>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</si>
  <si>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</si>
  <si>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</si>
  <si>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</si>
  <si>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</si>
  <si>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</si>
  <si>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</si>
  <si>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</si>
  <si>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</si>
  <si>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</si>
  <si>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</si>
  <si>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</si>
  <si>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</si>
  <si>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</si>
  <si>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</si>
  <si>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</si>
  <si>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</si>
  <si>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</si>
  <si>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</si>
  <si>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</si>
  <si>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</si>
  <si>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</si>
  <si>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</si>
  <si>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</si>
  <si>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</si>
  <si>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</si>
  <si>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</si>
  <si>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</si>
  <si>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</si>
  <si>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</si>
  <si>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</si>
  <si>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</si>
  <si>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</si>
  <si>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</si>
  <si>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</si>
  <si>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</si>
  <si>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</si>
  <si>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</si>
  <si>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</si>
  <si>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</si>
  <si>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</si>
  <si>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</si>
  <si>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</si>
  <si>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</si>
  <si>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</si>
  <si>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</si>
  <si>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</si>
  <si>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</si>
  <si>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</si>
  <si>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</si>
  <si>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</si>
  <si>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</si>
  <si>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</si>
  <si>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</si>
  <si>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</si>
  <si>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</si>
  <si>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</si>
  <si>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</si>
  <si>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</si>
  <si>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</si>
  <si>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</si>
  <si>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</si>
  <si>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</si>
  <si>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</si>
  <si>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</si>
  <si>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</si>
  <si>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</si>
  <si>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</si>
  <si>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</si>
  <si>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</si>
  <si>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</si>
  <si>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</si>
  <si>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</si>
  <si>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</si>
  <si>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</si>
  <si>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</si>
  <si>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</si>
  <si>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</si>
  <si>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</si>
  <si>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</si>
  <si>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</si>
  <si>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</si>
  <si>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</si>
  <si>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</si>
  <si>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</si>
  <si>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</si>
  <si>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</si>
  <si>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</si>
  <si>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</si>
  <si>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</si>
  <si>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</si>
  <si>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</si>
  <si>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</si>
  <si>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</si>
  <si>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</si>
  <si>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</si>
  <si>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</si>
  <si>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</si>
  <si>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</si>
  <si>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</si>
  <si>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</si>
  <si>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</si>
  <si>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</si>
  <si>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</si>
  <si>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</si>
  <si>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</si>
  <si>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</si>
  <si>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</si>
  <si>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</si>
  <si>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</si>
  <si>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</si>
  <si>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</si>
  <si>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</si>
  <si>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</si>
  <si>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</si>
  <si>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</si>
  <si>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</si>
  <si>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</si>
  <si>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</si>
  <si>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</si>
  <si>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</si>
  <si>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</si>
  <si>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</si>
  <si>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</si>
  <si>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</si>
  <si>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</si>
  <si>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</si>
  <si>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</si>
  <si>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</si>
  <si>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</si>
  <si>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</si>
  <si>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</si>
  <si>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</si>
  <si>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</si>
  <si>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</si>
  <si>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</si>
  <si>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</si>
  <si>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</si>
  <si>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</si>
  <si>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</si>
  <si>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</si>
  <si>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</si>
  <si>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</si>
  <si>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</si>
  <si>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</si>
  <si>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</si>
  <si>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</si>
  <si>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</si>
  <si>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</si>
  <si>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</si>
  <si>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</si>
  <si>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</si>
  <si>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</si>
  <si>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</si>
  <si>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</si>
  <si>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</si>
  <si>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</si>
  <si>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</si>
  <si>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</si>
  <si>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</si>
  <si>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</si>
  <si>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</si>
  <si>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</si>
  <si>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</si>
  <si>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</si>
  <si>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</si>
  <si>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</si>
  <si>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</si>
  <si>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</si>
  <si>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</si>
  <si>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</si>
  <si>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</si>
  <si>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</si>
  <si>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</si>
  <si>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</si>
  <si>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</si>
  <si>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</si>
  <si>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</si>
  <si>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</si>
  <si>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</si>
  <si>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</si>
  <si>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</si>
  <si>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</si>
  <si>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</si>
  <si>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</si>
  <si>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</si>
  <si>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</si>
  <si>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</si>
  <si>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</si>
  <si>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</si>
  <si>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</si>
  <si>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</si>
  <si>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</si>
  <si>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</si>
  <si>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</si>
  <si>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</si>
  <si>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</si>
  <si>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</si>
  <si>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</si>
  <si>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</si>
  <si>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</si>
  <si>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</si>
  <si>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</si>
  <si>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</si>
  <si>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</si>
  <si>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</si>
  <si>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</si>
  <si>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</si>
  <si>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</si>
  <si>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</si>
  <si>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</si>
  <si>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</si>
  <si>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</si>
  <si>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</si>
  <si>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</si>
  <si>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</si>
  <si>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</si>
  <si>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</si>
  <si>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</si>
  <si>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</si>
  <si>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</si>
  <si>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</si>
  <si>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</si>
  <si>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</si>
  <si>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</si>
  <si>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</si>
  <si>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</si>
  <si>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</si>
  <si>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</si>
  <si>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</si>
  <si>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</si>
  <si>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</si>
  <si>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</si>
  <si>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</si>
  <si>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</si>
  <si>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</si>
  <si>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</si>
  <si>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</si>
  <si>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</si>
  <si>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</si>
  <si>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</si>
  <si>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</si>
  <si>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</si>
  <si>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</si>
  <si>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</si>
  <si>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</si>
  <si>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</si>
  <si>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</si>
  <si>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</si>
  <si>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</si>
  <si>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</si>
  <si>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</si>
  <si>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</si>
  <si>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</si>
  <si>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</si>
  <si>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</si>
  <si>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</si>
  <si>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</si>
  <si>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</si>
  <si>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</si>
  <si>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</si>
  <si>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</si>
  <si>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</si>
  <si>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</si>
  <si>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</si>
  <si>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</si>
  <si>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</si>
  <si>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</si>
  <si>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</si>
  <si>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</si>
  <si>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</si>
  <si>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</si>
  <si>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</si>
  <si>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</si>
  <si>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</si>
  <si>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</si>
  <si>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</si>
  <si>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</si>
  <si>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</si>
  <si>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</si>
  <si>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</si>
  <si>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</si>
  <si>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</si>
  <si>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</si>
  <si>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</si>
  <si>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</si>
  <si>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</si>
  <si>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</si>
  <si>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</si>
  <si>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</si>
  <si>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</si>
  <si>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</si>
  <si>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</si>
  <si>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</si>
  <si>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</si>
  <si>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</si>
  <si>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</si>
  <si>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</si>
  <si>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</si>
  <si>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</si>
  <si>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</si>
  <si>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</si>
  <si>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</si>
  <si>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</si>
  <si>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</si>
  <si>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</si>
  <si>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</si>
  <si>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</si>
  <si>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</si>
  <si>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</si>
  <si>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</si>
  <si>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</si>
  <si>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</si>
  <si>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</si>
  <si>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</si>
  <si>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</si>
  <si>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</si>
  <si>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</si>
  <si>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</si>
  <si>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</si>
  <si>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</si>
  <si>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</si>
  <si>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</si>
  <si>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</si>
  <si>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</si>
  <si>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</si>
  <si>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</si>
  <si>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</si>
  <si>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</si>
  <si>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</si>
  <si>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</si>
  <si>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</si>
  <si>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</si>
  <si>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</si>
  <si>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</si>
  <si>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</si>
  <si>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</si>
  <si>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</si>
  <si>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</si>
  <si>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</si>
  <si>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</si>
  <si>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</si>
  <si>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</si>
  <si>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</si>
  <si>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</si>
  <si>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</si>
  <si>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</si>
  <si>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</si>
  <si>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</si>
  <si>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</si>
  <si>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</si>
  <si>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</si>
  <si>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</si>
  <si>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</si>
  <si>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</si>
  <si>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</si>
  <si>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</si>
  <si>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</si>
  <si>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</si>
  <si>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</si>
  <si>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</si>
  <si>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</si>
  <si>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</si>
  <si>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</si>
  <si>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</si>
  <si>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</si>
  <si>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</si>
  <si>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</si>
  <si>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</si>
  <si>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</si>
  <si>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</si>
  <si>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</si>
  <si>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</si>
  <si>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</si>
  <si>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</si>
  <si>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</si>
  <si>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</si>
  <si>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</si>
  <si>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</si>
  <si>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</si>
  <si>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</si>
  <si>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</si>
  <si>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</si>
  <si>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</si>
  <si>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</si>
  <si>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</si>
  <si>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</si>
  <si>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</si>
  <si>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</si>
  <si>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</si>
  <si>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</si>
  <si>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</si>
  <si>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</si>
  <si>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</si>
  <si>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</si>
  <si>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</si>
  <si>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</si>
  <si>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</si>
  <si>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</si>
  <si>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</si>
  <si>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</si>
  <si>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</si>
  <si>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</si>
  <si>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</si>
  <si>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</si>
  <si>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</si>
  <si>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</si>
  <si>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</si>
  <si>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</si>
  <si>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</si>
  <si>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</si>
  <si>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</si>
  <si>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</si>
  <si>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</si>
  <si>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</si>
  <si>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</si>
  <si>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</si>
  <si>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</si>
  <si>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</si>
  <si>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</si>
  <si>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</si>
  <si>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</si>
  <si>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</si>
  <si>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</si>
  <si>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</si>
  <si>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</si>
  <si>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</si>
  <si>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</si>
  <si>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</si>
  <si>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</si>
  <si>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</si>
  <si>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</si>
  <si>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</si>
  <si>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</si>
  <si>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</si>
  <si>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</si>
  <si>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</si>
  <si>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</si>
  <si>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</si>
  <si>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</si>
  <si>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</si>
  <si>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</si>
  <si>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</si>
  <si>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</si>
  <si>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</si>
  <si>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</si>
  <si>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</si>
  <si>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</si>
  <si>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</si>
  <si>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</si>
  <si>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</si>
  <si>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</si>
  <si>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</si>
  <si>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</si>
  <si>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</si>
  <si>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</si>
  <si>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</si>
  <si>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</si>
  <si>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</si>
  <si>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</si>
  <si>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</si>
  <si>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</si>
  <si>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</si>
  <si>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</si>
  <si>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</si>
  <si>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</si>
  <si>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</si>
  <si>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</si>
  <si>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</si>
  <si>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</si>
  <si>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</si>
  <si>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</si>
  <si>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</si>
  <si>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</si>
  <si>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</si>
  <si>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</si>
  <si>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</si>
  <si>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</si>
  <si>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</si>
  <si>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</si>
  <si>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</si>
  <si>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</si>
  <si>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</si>
  <si>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</si>
  <si>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</si>
  <si>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</si>
  <si>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</si>
  <si>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</si>
  <si>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</si>
  <si>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</si>
  <si>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</si>
  <si>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</si>
  <si>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</si>
  <si>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</si>
  <si>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</si>
  <si>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</si>
  <si>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</si>
  <si>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</si>
  <si>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</si>
  <si>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</si>
  <si>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</si>
  <si>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</si>
  <si>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</si>
  <si>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</si>
  <si>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</si>
  <si>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</si>
  <si>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</si>
  <si>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</si>
  <si>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</si>
  <si>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</si>
  <si>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</si>
  <si>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</si>
  <si>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</si>
  <si>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</si>
  <si>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</si>
  <si>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</si>
  <si>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</si>
  <si>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</si>
  <si>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</si>
  <si>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</si>
  <si>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</si>
  <si>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</si>
  <si>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</si>
  <si>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</si>
  <si>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</si>
  <si>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</si>
  <si>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</si>
  <si>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</si>
  <si>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</si>
  <si>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</si>
  <si>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</si>
  <si>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</si>
  <si>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</si>
  <si>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</si>
  <si>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</si>
  <si>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</si>
  <si>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</si>
  <si>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</si>
  <si>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</si>
  <si>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</si>
  <si>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</si>
  <si>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</si>
  <si>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</si>
  <si>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</si>
  <si>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</si>
  <si>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</si>
  <si>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</si>
  <si>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</si>
  <si>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</si>
  <si>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</si>
  <si>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</si>
  <si>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</si>
  <si>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</si>
  <si>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</si>
  <si>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</si>
  <si>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</si>
  <si>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</si>
  <si>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</si>
  <si>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</si>
  <si>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</si>
  <si>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</si>
  <si>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</si>
  <si>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</si>
  <si>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</si>
  <si>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</si>
  <si>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</si>
  <si>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</si>
  <si>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</si>
  <si>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</si>
  <si>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</si>
  <si>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</si>
  <si>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</si>
  <si>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</si>
  <si>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</si>
  <si>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</si>
  <si>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</si>
  <si>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</si>
  <si>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</si>
  <si>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</si>
  <si>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</si>
  <si>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</si>
  <si>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</si>
  <si>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</si>
  <si>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</si>
  <si>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</si>
  <si>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</si>
  <si>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</si>
  <si>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</si>
  <si>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</si>
  <si>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</si>
  <si>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</si>
  <si>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</si>
  <si>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</si>
  <si>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</si>
  <si>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</si>
  <si>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</si>
  <si>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</si>
  <si>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</si>
  <si>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</si>
  <si>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</si>
  <si>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</si>
  <si>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</si>
  <si>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</si>
  <si>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</si>
  <si>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</si>
  <si>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</si>
  <si>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</si>
  <si>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</si>
  <si>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</si>
  <si>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</si>
  <si>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</si>
  <si>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</si>
  <si>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</si>
  <si>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</si>
  <si>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</si>
  <si>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</si>
  <si>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</si>
  <si>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</si>
  <si>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</si>
  <si>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</si>
  <si>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</si>
  <si>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</si>
  <si>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</si>
  <si>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</si>
  <si>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</si>
  <si>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</si>
  <si>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</si>
  <si>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</si>
  <si>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</si>
  <si>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</si>
  <si>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</si>
  <si>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</si>
  <si>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</si>
  <si>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</si>
  <si>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</si>
  <si>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</si>
  <si>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</si>
  <si>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</si>
  <si>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</si>
  <si>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</si>
  <si>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</si>
  <si>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</si>
  <si>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</si>
  <si>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</si>
  <si>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</si>
  <si>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</si>
  <si>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</si>
  <si>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</si>
  <si>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</si>
  <si>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</si>
  <si>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</si>
  <si>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</si>
  <si>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</si>
  <si>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</si>
  <si>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</si>
  <si>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</si>
  <si>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</si>
  <si>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</si>
  <si>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</si>
  <si>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</si>
  <si>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</si>
  <si>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</si>
  <si>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</si>
  <si>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</si>
  <si>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</si>
  <si>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</si>
  <si>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</si>
  <si>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</si>
  <si>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</si>
  <si>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</si>
  <si>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</si>
  <si>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</si>
  <si>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</si>
  <si>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</si>
  <si>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</si>
  <si>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</si>
  <si>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</si>
  <si>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</si>
  <si>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</si>
  <si>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</si>
  <si>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</si>
  <si>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Duplicate Check</t>
  </si>
  <si>
    <t>Trim Check</t>
  </si>
  <si>
    <t>Price Check</t>
  </si>
  <si>
    <t>DATA CLEANING SUMMARY</t>
  </si>
  <si>
    <t>Total rows (including header)</t>
  </si>
  <si>
    <t>Total columns</t>
  </si>
  <si>
    <t>Missing Values</t>
  </si>
  <si>
    <t xml:space="preserve">Rows and Columns </t>
  </si>
  <si>
    <t xml:space="preserve">309 blanks Values </t>
  </si>
  <si>
    <t>Duplicates</t>
  </si>
  <si>
    <t xml:space="preserve">0 Duplicates </t>
  </si>
  <si>
    <t>Checked all 1,200 order ID for duplcates using COUNTIF</t>
  </si>
  <si>
    <t xml:space="preserve">Formatting and Cleaning actions taken. </t>
  </si>
  <si>
    <t xml:space="preserve">1. Identified missing or null values which 309 blanks were found under CouponCode column </t>
  </si>
  <si>
    <t xml:space="preserve">2. CouponCode 309 cell replaced with "No Coupon" </t>
  </si>
  <si>
    <t>3. Check all dataset for duplicate under Order ID, Non was found</t>
  </si>
  <si>
    <t xml:space="preserve">4. All text columns passed through TRIM() to remove any stray leading spaces. </t>
  </si>
  <si>
    <t>5. Verified data columns stored as True dates not text</t>
  </si>
  <si>
    <t>6. Verified numeric columns stored as True numbers</t>
  </si>
  <si>
    <t xml:space="preserve">Data Integrity Check: </t>
  </si>
  <si>
    <t>Verified TotalPrice = Quantity * UnitPrice for all the 1200 rows</t>
  </si>
  <si>
    <t>In Conclusion:</t>
  </si>
  <si>
    <t>I audited 1200 rows across (Excluding the header), 14 columns for missing values, duplicates, and formatting errors. The only issue found was 309 blank CouponCode values (25.75%), which I identified as customers who didn't use a coupon rather than lost data, and replaced with 'No Coupon' to make the missingness explicit. I verified no duplicate OrderIDs, confirmed dates and numbers were stored in correct formats, checked all text fields for hidden whitespace, and validated that TotalPrice matched Quantity × UnitPrice in every row with zero mismatches."</t>
  </si>
  <si>
    <t>STATISTICS</t>
  </si>
  <si>
    <t>TOTAL PRICE</t>
  </si>
  <si>
    <t>Mean (Average)</t>
  </si>
  <si>
    <t xml:space="preserve">Median </t>
  </si>
  <si>
    <t>QUANTITY</t>
  </si>
  <si>
    <t>UNIT PRICE</t>
  </si>
  <si>
    <t>Count</t>
  </si>
  <si>
    <t>EXPLORATORY DATA ANALYSIS - PROJECT 2</t>
  </si>
  <si>
    <t>1. Basic Statistics</t>
  </si>
  <si>
    <t>Minimum</t>
  </si>
  <si>
    <t>Maximum</t>
  </si>
  <si>
    <t>Stan. Dev.</t>
  </si>
  <si>
    <t>By Months (across all years)</t>
  </si>
  <si>
    <t>MONTH</t>
  </si>
  <si>
    <t>ORDER COUNT</t>
  </si>
  <si>
    <t>AVERAGE ORDER VALUE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</si>
  <si>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</si>
  <si>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</si>
  <si>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</si>
  <si>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</si>
  <si>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</si>
  <si>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</si>
  <si>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</si>
  <si>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</si>
  <si>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</si>
  <si>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</si>
  <si>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</si>
  <si>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</si>
  <si>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2. By Product</t>
  </si>
  <si>
    <t>2. By Trends</t>
  </si>
  <si>
    <t>TOTAL SALES</t>
  </si>
  <si>
    <t>PRODUCT</t>
  </si>
  <si>
    <t>3. Outliers (IRQ Method) - TotalPrice</t>
  </si>
  <si>
    <t>Q1 (25th percentile)</t>
  </si>
  <si>
    <t>Q3 (75th percentile)</t>
  </si>
  <si>
    <t>IQR (Q3 - Q1)</t>
  </si>
  <si>
    <t>Lower Bound (Q1 - 1.5xIQR)</t>
  </si>
  <si>
    <t>Upper Bound (Q3 + 1.5xIQR)</t>
  </si>
  <si>
    <t>Numbers of outlier above upper bound</t>
  </si>
  <si>
    <t>Numbers of outlier bello lower bound)</t>
  </si>
  <si>
    <t xml:space="preserve">4. summary of key observation </t>
  </si>
  <si>
    <t>The cleaned dataset contains 1,200 order records spanning January 2023 to June 2025.</t>
  </si>
  <si>
    <t>TotalPrice is right-skewed: the mean (₦1,053.97) is noticeably higher than the median (₦823.62), meaning a smaller number of high-value orders are pulling the average above what a typical order actually costs.</t>
  </si>
  <si>
    <t>Quantity (mean 2.95, median 3) and UnitPrice (mean 356.41, median 364.21) are both fairly evenly distributed on their own, so the skew in TotalPrice comes from certain orders combining above-average quantity with above-average price, not from either factor alone.</t>
  </si>
  <si>
    <t>By month, June had the highest total sales (₦170,616.13) while September had the lowest (₦69,321.65). By product, Chair and Printer generated the highest total sales, while Phone was the lowest performer.</t>
  </si>
  <si>
    <t>Using the IQR method (Q1 = ₦410.52, Q3 = ₦1,578.48), 8 orders were identified as high-value outliers, with TotalPrice above ₦3,330.41. No orders fell below the lower bound.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</si>
</sst>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yyyy\-mm\-dd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2" fillId="2" borderId="0" xfId="0" applyFont="1" applyFill="1"/>
    <xf numFmtId="0" fontId="2" fillId="0" borderId="0" xfId="0" applyFont="1"/>
    <xf numFmtId="0" fontId="0" fillId="3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3" fillId="4" borderId="1" xfId="0" applyFont="1" applyFill="1" applyBorder="1" applyAlignment="1">
      <alignment horizontal="center" vertical="top"/>
    </xf>
    <xf numFmtId="0" fontId="4" fillId="0" borderId="0" xfId="0" applyFont="1"/>
    <xf numFmtId="2" fontId="0" fillId="0" borderId="0" xfId="0" applyNumberFormat="1"/>
    <xf numFmtId="0" fontId="2" fillId="5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43" fontId="0" fillId="0" borderId="0" xfId="0" applyNumberFormat="1"/>
    <xf numFmtId="43" fontId="3" fillId="4" borderId="1" xfId="0" applyNumberFormat="1" applyFont="1" applyFill="1" applyBorder="1" applyAlignment="1">
      <alignment horizontal="center" vertical="top"/>
    </xf>
    <xf numFmtId="0" fontId="2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43" fontId="6" fillId="0" borderId="0" xfId="0" applyNumberFormat="1" applyFont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11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555355-0EE1-4113-B6C8-90BBB2ADB148}" name="Table2" displayName="Table2" ref="A1:Q1201" totalsRowShown="0" headerRowDxfId="10" headerRowBorderDxfId="9" tableBorderDxfId="8">
  <autoFilter ref="A1:Q1201" xr:uid="{6C555355-0EE1-4113-B6C8-90BBB2ADB148}"/>
  <tableColumns count="17">
    <tableColumn id="1" xr3:uid="{CF93596F-7985-422A-8B9D-E11878D3FBAB}" name="OrderID"/>
    <tableColumn id="2" xr3:uid="{3A3A37F0-4CDB-4F7B-9EA2-59CA1AF9317B}" name="Date" dataDxfId="7"/>
    <tableColumn id="3" xr3:uid="{00D567FB-473F-4564-AB66-0D810B3C1B0C}" name="CustomerID"/>
    <tableColumn id="4" xr3:uid="{FAFAEC60-86A4-44DC-90F6-C7FAD8BAA9BA}" name="Product"/>
    <tableColumn id="5" xr3:uid="{39C55C5B-390D-472C-A958-2049F86B12CA}" name="Quantity"/>
    <tableColumn id="6" xr3:uid="{8233E7B1-C798-47E1-A0DE-3F8FBA16D5E5}" name="UnitPrice"/>
    <tableColumn id="7" xr3:uid="{84FC5440-3CC2-48BE-9537-42C9BC55E055}" name="ShippingAddress"/>
    <tableColumn id="8" xr3:uid="{E25A0D2C-EDAC-4F2E-88E2-98A97C420E7B}" name="PaymentMethod"/>
    <tableColumn id="9" xr3:uid="{570AC78F-0786-49E3-80E5-ECDAED7458AA}" name="OrderStatus"/>
    <tableColumn id="10" xr3:uid="{5F4F1834-7B7E-4326-A12D-51FF36D727C2}" name="TrackingNumber"/>
    <tableColumn id="11" xr3:uid="{78772725-C22A-456E-85AA-0E6C6288B96D}" name="ItemsInCart"/>
    <tableColumn id="12" xr3:uid="{3160F05C-58DC-479D-9CFC-FBF76FFD5639}" name="CouponCode"/>
    <tableColumn id="13" xr3:uid="{60E36F81-9218-4BC1-9BBA-C3058B83F878}" name="ReferralSource"/>
    <tableColumn id="14" xr3:uid="{F2E26FC2-A952-4EE6-8170-AE69D42B73BF}" name="TotalPrice"/>
    <tableColumn id="15" xr3:uid="{BFAF49C5-663B-41B1-A913-BA7D49C1328A}" name="Duplicate Check" dataDxfId="6">
      <calculatedColumnFormula>COUNTIF($A$2:A2,A2)&gt;1</calculatedColumnFormula>
    </tableColumn>
    <tableColumn id="16" xr3:uid="{92FADE1B-9EA1-403C-8391-568DB35F43D1}" name="Trim Check" dataDxfId="5">
      <calculatedColumnFormula>TRIM(H2)=H2</calculatedColumnFormula>
    </tableColumn>
    <tableColumn id="17" xr3:uid="{3AB16D2E-CB4C-4F3D-AE4C-A99CC1D53C4B}" name="Price Check" dataDxfId="4">
      <calculatedColumnFormula>ROUND(E2*F2,2)=ROUND(N2,2)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517E5-7068-4DF0-B88E-8AE5061DA8F3}">
  <dimension ref="A1:N1201"/>
  <sheetViews>
    <sheetView topLeftCell="A1180" workbookViewId="0">
      <selection sqref="A1:N1201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01"/>
  <sheetViews>
    <sheetView zoomScaleNormal="100" workbookViewId="0">
      <selection sqref="A1:D1"/>
    </sheetView>
  </sheetViews>
  <sheetFormatPr defaultRowHeight="15" x14ac:dyDescent="0.25"/>
  <cols>
    <col min="1" max="1" width="12.5703125" bestFit="1" customWidth="1"/>
    <col min="2" max="2" width="10.42578125" customWidth="1"/>
    <col min="3" max="3" width="16" bestFit="1" customWidth="1"/>
    <col min="4" max="4" width="12.42578125" bestFit="1" customWidth="1"/>
    <col min="5" max="5" width="13.28515625" bestFit="1" customWidth="1"/>
    <col min="6" max="6" width="13.85546875" bestFit="1" customWidth="1"/>
    <col min="7" max="7" width="20.5703125" bestFit="1" customWidth="1"/>
    <col min="8" max="8" width="20.7109375" bestFit="1" customWidth="1"/>
    <col min="9" max="9" width="16.140625" bestFit="1" customWidth="1"/>
    <col min="10" max="10" width="20.28515625" bestFit="1" customWidth="1"/>
    <col min="11" max="11" width="15.85546875" bestFit="1" customWidth="1"/>
    <col min="12" max="12" width="17" bestFit="1" customWidth="1"/>
    <col min="13" max="13" width="18.85546875" bestFit="1" customWidth="1"/>
    <col min="14" max="14" width="14.42578125" bestFit="1" customWidth="1"/>
    <col min="15" max="15" width="19.85546875" bestFit="1" customWidth="1"/>
    <col min="16" max="16" width="15.28515625" bestFit="1" customWidth="1"/>
    <col min="17" max="17" width="15.7109375" bestFit="1" customWidth="1"/>
  </cols>
  <sheetData>
    <row r="1" spans="1:1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4284</v>
      </c>
      <c r="P1" s="3" t="s">
        <v>4285</v>
      </c>
      <c r="Q1" s="3" t="s">
        <v>4286</v>
      </c>
    </row>
    <row r="2" spans="1:17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  <c r="O2" t="b">
        <f>COUNTIF($A$2:A2,A2)&gt;1</f>
        <v>0</v>
      </c>
      <c r="P2" t="b">
        <f t="shared" ref="P2:P65" si="0">TRIM(H2)=H2</f>
        <v>1</v>
      </c>
      <c r="Q2" t="b">
        <f t="shared" ref="Q2:Q65" si="1">ROUND(E2*F2,2)=ROUND(N2,2)</f>
        <v>1</v>
      </c>
    </row>
    <row r="3" spans="1:17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  <c r="O3" t="b">
        <f>COUNTIF($A$2:A3,A3)&gt;1</f>
        <v>0</v>
      </c>
      <c r="P3" t="b">
        <f t="shared" si="0"/>
        <v>1</v>
      </c>
      <c r="Q3" t="b">
        <f t="shared" si="1"/>
        <v>1</v>
      </c>
    </row>
    <row r="4" spans="1:17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  <c r="O4" t="b">
        <f>COUNTIF($A$2:A4,A4)&gt;1</f>
        <v>0</v>
      </c>
      <c r="P4" t="b">
        <f t="shared" si="0"/>
        <v>1</v>
      </c>
      <c r="Q4" t="b">
        <f t="shared" si="1"/>
        <v>1</v>
      </c>
    </row>
    <row r="5" spans="1:17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  <c r="O5" t="b">
        <f>COUNTIF($A$2:A5,A5)&gt;1</f>
        <v>0</v>
      </c>
      <c r="P5" t="b">
        <f t="shared" si="0"/>
        <v>1</v>
      </c>
      <c r="Q5" t="b">
        <f t="shared" si="1"/>
        <v>1</v>
      </c>
    </row>
    <row r="6" spans="1:17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  <c r="O6" t="b">
        <f>COUNTIF($A$2:A6,A6)&gt;1</f>
        <v>0</v>
      </c>
      <c r="P6" t="b">
        <f t="shared" si="0"/>
        <v>1</v>
      </c>
      <c r="Q6" t="b">
        <f t="shared" si="1"/>
        <v>1</v>
      </c>
    </row>
    <row r="7" spans="1:17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  <c r="O7" t="b">
        <f>COUNTIF($A$2:A7,A7)&gt;1</f>
        <v>0</v>
      </c>
      <c r="P7" t="b">
        <f t="shared" si="0"/>
        <v>1</v>
      </c>
      <c r="Q7" t="b">
        <f t="shared" si="1"/>
        <v>1</v>
      </c>
    </row>
    <row r="8" spans="1:17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  <c r="O8" t="b">
        <f>COUNTIF($A$2:A8,A8)&gt;1</f>
        <v>0</v>
      </c>
      <c r="P8" t="b">
        <f t="shared" si="0"/>
        <v>1</v>
      </c>
      <c r="Q8" t="b">
        <f t="shared" si="1"/>
        <v>1</v>
      </c>
    </row>
    <row r="9" spans="1:17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  <c r="O9" t="b">
        <f>COUNTIF($A$2:A9,A9)&gt;1</f>
        <v>0</v>
      </c>
      <c r="P9" t="b">
        <f t="shared" si="0"/>
        <v>1</v>
      </c>
      <c r="Q9" t="b">
        <f t="shared" si="1"/>
        <v>1</v>
      </c>
    </row>
    <row r="10" spans="1:17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  <c r="O10" t="b">
        <f>COUNTIF($A$2:A10,A10)&gt;1</f>
        <v>0</v>
      </c>
      <c r="P10" t="b">
        <f t="shared" si="0"/>
        <v>1</v>
      </c>
      <c r="Q10" t="b">
        <f t="shared" si="1"/>
        <v>1</v>
      </c>
    </row>
    <row r="11" spans="1:17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  <c r="O11" t="b">
        <f>COUNTIF($A$2:A11,A11)&gt;1</f>
        <v>0</v>
      </c>
      <c r="P11" t="b">
        <f t="shared" si="0"/>
        <v>1</v>
      </c>
      <c r="Q11" t="b">
        <f t="shared" si="1"/>
        <v>1</v>
      </c>
    </row>
    <row r="12" spans="1:17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  <c r="O12" t="b">
        <f>COUNTIF($A$2:A12,A12)&gt;1</f>
        <v>0</v>
      </c>
      <c r="P12" t="b">
        <f t="shared" si="0"/>
        <v>1</v>
      </c>
      <c r="Q12" t="b">
        <f t="shared" si="1"/>
        <v>1</v>
      </c>
    </row>
    <row r="13" spans="1:17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  <c r="O13" t="b">
        <f>COUNTIF($A$2:A13,A13)&gt;1</f>
        <v>0</v>
      </c>
      <c r="P13" t="b">
        <f t="shared" si="0"/>
        <v>1</v>
      </c>
      <c r="Q13" t="b">
        <f t="shared" si="1"/>
        <v>1</v>
      </c>
    </row>
    <row r="14" spans="1:17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  <c r="O14" t="b">
        <f>COUNTIF($A$2:A14,A14)&gt;1</f>
        <v>0</v>
      </c>
      <c r="P14" t="b">
        <f t="shared" si="0"/>
        <v>1</v>
      </c>
      <c r="Q14" t="b">
        <f t="shared" si="1"/>
        <v>1</v>
      </c>
    </row>
    <row r="15" spans="1:17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  <c r="O15" t="b">
        <f>COUNTIF($A$2:A15,A15)&gt;1</f>
        <v>0</v>
      </c>
      <c r="P15" t="b">
        <f t="shared" si="0"/>
        <v>1</v>
      </c>
      <c r="Q15" t="b">
        <f t="shared" si="1"/>
        <v>1</v>
      </c>
    </row>
    <row r="16" spans="1:17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  <c r="O16" t="b">
        <f>COUNTIF($A$2:A16,A16)&gt;1</f>
        <v>0</v>
      </c>
      <c r="P16" t="b">
        <f t="shared" si="0"/>
        <v>1</v>
      </c>
      <c r="Q16" t="b">
        <f t="shared" si="1"/>
        <v>1</v>
      </c>
    </row>
    <row r="17" spans="1:17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  <c r="O17" t="b">
        <f>COUNTIF($A$2:A17,A17)&gt;1</f>
        <v>0</v>
      </c>
      <c r="P17" t="b">
        <f t="shared" si="0"/>
        <v>1</v>
      </c>
      <c r="Q17" t="b">
        <f t="shared" si="1"/>
        <v>1</v>
      </c>
    </row>
    <row r="18" spans="1:17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  <c r="O18" t="b">
        <f>COUNTIF($A$2:A18,A18)&gt;1</f>
        <v>0</v>
      </c>
      <c r="P18" t="b">
        <f t="shared" si="0"/>
        <v>1</v>
      </c>
      <c r="Q18" t="b">
        <f t="shared" si="1"/>
        <v>1</v>
      </c>
    </row>
    <row r="19" spans="1:17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  <c r="O19" t="b">
        <f>COUNTIF($A$2:A19,A19)&gt;1</f>
        <v>0</v>
      </c>
      <c r="P19" t="b">
        <f t="shared" si="0"/>
        <v>1</v>
      </c>
      <c r="Q19" t="b">
        <f t="shared" si="1"/>
        <v>1</v>
      </c>
    </row>
    <row r="20" spans="1:17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  <c r="O20" t="b">
        <f>COUNTIF($A$2:A20,A20)&gt;1</f>
        <v>0</v>
      </c>
      <c r="P20" t="b">
        <f t="shared" si="0"/>
        <v>1</v>
      </c>
      <c r="Q20" t="b">
        <f t="shared" si="1"/>
        <v>1</v>
      </c>
    </row>
    <row r="21" spans="1:17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  <c r="O21" t="b">
        <f>COUNTIF($A$2:A21,A21)&gt;1</f>
        <v>0</v>
      </c>
      <c r="P21" t="b">
        <f t="shared" si="0"/>
        <v>1</v>
      </c>
      <c r="Q21" t="b">
        <f t="shared" si="1"/>
        <v>1</v>
      </c>
    </row>
    <row r="22" spans="1:17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  <c r="O22" t="b">
        <f>COUNTIF($A$2:A22,A22)&gt;1</f>
        <v>0</v>
      </c>
      <c r="P22" t="b">
        <f t="shared" si="0"/>
        <v>1</v>
      </c>
      <c r="Q22" t="b">
        <f t="shared" si="1"/>
        <v>1</v>
      </c>
    </row>
    <row r="23" spans="1:17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  <c r="O23" t="b">
        <f>COUNTIF($A$2:A23,A23)&gt;1</f>
        <v>0</v>
      </c>
      <c r="P23" t="b">
        <f t="shared" si="0"/>
        <v>1</v>
      </c>
      <c r="Q23" t="b">
        <f t="shared" si="1"/>
        <v>1</v>
      </c>
    </row>
    <row r="24" spans="1:17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  <c r="O24" t="b">
        <f>COUNTIF($A$2:A24,A24)&gt;1</f>
        <v>0</v>
      </c>
      <c r="P24" t="b">
        <f t="shared" si="0"/>
        <v>1</v>
      </c>
      <c r="Q24" t="b">
        <f t="shared" si="1"/>
        <v>1</v>
      </c>
    </row>
    <row r="25" spans="1:17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  <c r="O25" t="b">
        <f>COUNTIF($A$2:A25,A25)&gt;1</f>
        <v>0</v>
      </c>
      <c r="P25" t="b">
        <f t="shared" si="0"/>
        <v>1</v>
      </c>
      <c r="Q25" t="b">
        <f t="shared" si="1"/>
        <v>1</v>
      </c>
    </row>
    <row r="26" spans="1:17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  <c r="O26" t="b">
        <f>COUNTIF($A$2:A26,A26)&gt;1</f>
        <v>0</v>
      </c>
      <c r="P26" t="b">
        <f t="shared" si="0"/>
        <v>1</v>
      </c>
      <c r="Q26" t="b">
        <f t="shared" si="1"/>
        <v>1</v>
      </c>
    </row>
    <row r="27" spans="1:17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  <c r="O27" t="b">
        <f>COUNTIF($A$2:A27,A27)&gt;1</f>
        <v>0</v>
      </c>
      <c r="P27" t="b">
        <f t="shared" si="0"/>
        <v>1</v>
      </c>
      <c r="Q27" t="b">
        <f t="shared" si="1"/>
        <v>1</v>
      </c>
    </row>
    <row r="28" spans="1:17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  <c r="O28" t="b">
        <f>COUNTIF($A$2:A28,A28)&gt;1</f>
        <v>0</v>
      </c>
      <c r="P28" t="b">
        <f t="shared" si="0"/>
        <v>1</v>
      </c>
      <c r="Q28" t="b">
        <f t="shared" si="1"/>
        <v>1</v>
      </c>
    </row>
    <row r="29" spans="1:17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  <c r="O29" t="b">
        <f>COUNTIF($A$2:A29,A29)&gt;1</f>
        <v>0</v>
      </c>
      <c r="P29" t="b">
        <f t="shared" si="0"/>
        <v>1</v>
      </c>
      <c r="Q29" t="b">
        <f t="shared" si="1"/>
        <v>1</v>
      </c>
    </row>
    <row r="30" spans="1:17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  <c r="O30" t="b">
        <f>COUNTIF($A$2:A30,A30)&gt;1</f>
        <v>0</v>
      </c>
      <c r="P30" t="b">
        <f t="shared" si="0"/>
        <v>1</v>
      </c>
      <c r="Q30" t="b">
        <f t="shared" si="1"/>
        <v>1</v>
      </c>
    </row>
    <row r="31" spans="1:17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  <c r="O31" t="b">
        <f>COUNTIF($A$2:A31,A31)&gt;1</f>
        <v>0</v>
      </c>
      <c r="P31" t="b">
        <f t="shared" si="0"/>
        <v>1</v>
      </c>
      <c r="Q31" t="b">
        <f t="shared" si="1"/>
        <v>1</v>
      </c>
    </row>
    <row r="32" spans="1:17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  <c r="O32" t="b">
        <f>COUNTIF($A$2:A32,A32)&gt;1</f>
        <v>0</v>
      </c>
      <c r="P32" t="b">
        <f t="shared" si="0"/>
        <v>1</v>
      </c>
      <c r="Q32" t="b">
        <f t="shared" si="1"/>
        <v>1</v>
      </c>
    </row>
    <row r="33" spans="1:17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  <c r="O33" t="b">
        <f>COUNTIF($A$2:A33,A33)&gt;1</f>
        <v>0</v>
      </c>
      <c r="P33" t="b">
        <f t="shared" si="0"/>
        <v>1</v>
      </c>
      <c r="Q33" t="b">
        <f t="shared" si="1"/>
        <v>1</v>
      </c>
    </row>
    <row r="34" spans="1:17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  <c r="O34" t="b">
        <f>COUNTIF($A$2:A34,A34)&gt;1</f>
        <v>0</v>
      </c>
      <c r="P34" t="b">
        <f t="shared" si="0"/>
        <v>1</v>
      </c>
      <c r="Q34" t="b">
        <f t="shared" si="1"/>
        <v>1</v>
      </c>
    </row>
    <row r="35" spans="1:17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  <c r="O35" t="b">
        <f>COUNTIF($A$2:A35,A35)&gt;1</f>
        <v>0</v>
      </c>
      <c r="P35" t="b">
        <f t="shared" si="0"/>
        <v>1</v>
      </c>
      <c r="Q35" t="b">
        <f t="shared" si="1"/>
        <v>1</v>
      </c>
    </row>
    <row r="36" spans="1:17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  <c r="O36" t="b">
        <f>COUNTIF($A$2:A36,A36)&gt;1</f>
        <v>0</v>
      </c>
      <c r="P36" t="b">
        <f t="shared" si="0"/>
        <v>1</v>
      </c>
      <c r="Q36" t="b">
        <f t="shared" si="1"/>
        <v>1</v>
      </c>
    </row>
    <row r="37" spans="1:17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  <c r="O37" t="b">
        <f>COUNTIF($A$2:A37,A37)&gt;1</f>
        <v>0</v>
      </c>
      <c r="P37" t="b">
        <f t="shared" si="0"/>
        <v>1</v>
      </c>
      <c r="Q37" t="b">
        <f t="shared" si="1"/>
        <v>1</v>
      </c>
    </row>
    <row r="38" spans="1:17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  <c r="O38" t="b">
        <f>COUNTIF($A$2:A38,A38)&gt;1</f>
        <v>0</v>
      </c>
      <c r="P38" t="b">
        <f t="shared" si="0"/>
        <v>1</v>
      </c>
      <c r="Q38" t="b">
        <f t="shared" si="1"/>
        <v>1</v>
      </c>
    </row>
    <row r="39" spans="1:17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  <c r="O39" t="b">
        <f>COUNTIF($A$2:A39,A39)&gt;1</f>
        <v>0</v>
      </c>
      <c r="P39" t="b">
        <f t="shared" si="0"/>
        <v>1</v>
      </c>
      <c r="Q39" t="b">
        <f t="shared" si="1"/>
        <v>1</v>
      </c>
    </row>
    <row r="40" spans="1:17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  <c r="O40" t="b">
        <f>COUNTIF($A$2:A40,A40)&gt;1</f>
        <v>0</v>
      </c>
      <c r="P40" t="b">
        <f t="shared" si="0"/>
        <v>1</v>
      </c>
      <c r="Q40" t="b">
        <f t="shared" si="1"/>
        <v>1</v>
      </c>
    </row>
    <row r="41" spans="1:17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  <c r="O41" t="b">
        <f>COUNTIF($A$2:A41,A41)&gt;1</f>
        <v>0</v>
      </c>
      <c r="P41" t="b">
        <f t="shared" si="0"/>
        <v>1</v>
      </c>
      <c r="Q41" t="b">
        <f t="shared" si="1"/>
        <v>1</v>
      </c>
    </row>
    <row r="42" spans="1:17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  <c r="O42" t="b">
        <f>COUNTIF($A$2:A42,A42)&gt;1</f>
        <v>0</v>
      </c>
      <c r="P42" t="b">
        <f t="shared" si="0"/>
        <v>1</v>
      </c>
      <c r="Q42" t="b">
        <f t="shared" si="1"/>
        <v>1</v>
      </c>
    </row>
    <row r="43" spans="1:17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  <c r="O43" t="b">
        <f>COUNTIF($A$2:A43,A43)&gt;1</f>
        <v>0</v>
      </c>
      <c r="P43" t="b">
        <f t="shared" si="0"/>
        <v>1</v>
      </c>
      <c r="Q43" t="b">
        <f t="shared" si="1"/>
        <v>1</v>
      </c>
    </row>
    <row r="44" spans="1:17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  <c r="O44" t="b">
        <f>COUNTIF($A$2:A44,A44)&gt;1</f>
        <v>0</v>
      </c>
      <c r="P44" t="b">
        <f t="shared" si="0"/>
        <v>1</v>
      </c>
      <c r="Q44" t="b">
        <f t="shared" si="1"/>
        <v>1</v>
      </c>
    </row>
    <row r="45" spans="1:17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  <c r="O45" t="b">
        <f>COUNTIF($A$2:A45,A45)&gt;1</f>
        <v>0</v>
      </c>
      <c r="P45" t="b">
        <f t="shared" si="0"/>
        <v>1</v>
      </c>
      <c r="Q45" t="b">
        <f t="shared" si="1"/>
        <v>1</v>
      </c>
    </row>
    <row r="46" spans="1:17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  <c r="O46" t="b">
        <f>COUNTIF($A$2:A46,A46)&gt;1</f>
        <v>0</v>
      </c>
      <c r="P46" t="b">
        <f t="shared" si="0"/>
        <v>1</v>
      </c>
      <c r="Q46" t="b">
        <f t="shared" si="1"/>
        <v>1</v>
      </c>
    </row>
    <row r="47" spans="1:17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  <c r="O47" t="b">
        <f>COUNTIF($A$2:A47,A47)&gt;1</f>
        <v>0</v>
      </c>
      <c r="P47" t="b">
        <f t="shared" si="0"/>
        <v>1</v>
      </c>
      <c r="Q47" t="b">
        <f t="shared" si="1"/>
        <v>1</v>
      </c>
    </row>
    <row r="48" spans="1:17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  <c r="O48" t="b">
        <f>COUNTIF($A$2:A48,A48)&gt;1</f>
        <v>0</v>
      </c>
      <c r="P48" t="b">
        <f t="shared" si="0"/>
        <v>1</v>
      </c>
      <c r="Q48" t="b">
        <f t="shared" si="1"/>
        <v>1</v>
      </c>
    </row>
    <row r="49" spans="1:17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  <c r="O49" t="b">
        <f>COUNTIF($A$2:A49,A49)&gt;1</f>
        <v>0</v>
      </c>
      <c r="P49" t="b">
        <f t="shared" si="0"/>
        <v>1</v>
      </c>
      <c r="Q49" t="b">
        <f t="shared" si="1"/>
        <v>1</v>
      </c>
    </row>
    <row r="50" spans="1:17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  <c r="O50" t="b">
        <f>COUNTIF($A$2:A50,A50)&gt;1</f>
        <v>0</v>
      </c>
      <c r="P50" t="b">
        <f t="shared" si="0"/>
        <v>1</v>
      </c>
      <c r="Q50" t="b">
        <f t="shared" si="1"/>
        <v>1</v>
      </c>
    </row>
    <row r="51" spans="1:17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  <c r="O51" t="b">
        <f>COUNTIF($A$2:A51,A51)&gt;1</f>
        <v>0</v>
      </c>
      <c r="P51" t="b">
        <f t="shared" si="0"/>
        <v>1</v>
      </c>
      <c r="Q51" t="b">
        <f t="shared" si="1"/>
        <v>1</v>
      </c>
    </row>
    <row r="52" spans="1:17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  <c r="O52" t="b">
        <f>COUNTIF($A$2:A52,A52)&gt;1</f>
        <v>0</v>
      </c>
      <c r="P52" t="b">
        <f t="shared" si="0"/>
        <v>1</v>
      </c>
      <c r="Q52" t="b">
        <f t="shared" si="1"/>
        <v>1</v>
      </c>
    </row>
    <row r="53" spans="1:17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  <c r="O53" t="b">
        <f>COUNTIF($A$2:A53,A53)&gt;1</f>
        <v>0</v>
      </c>
      <c r="P53" t="b">
        <f t="shared" si="0"/>
        <v>1</v>
      </c>
      <c r="Q53" t="b">
        <f t="shared" si="1"/>
        <v>1</v>
      </c>
    </row>
    <row r="54" spans="1:17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  <c r="O54" t="b">
        <f>COUNTIF($A$2:A54,A54)&gt;1</f>
        <v>0</v>
      </c>
      <c r="P54" t="b">
        <f t="shared" si="0"/>
        <v>1</v>
      </c>
      <c r="Q54" t="b">
        <f t="shared" si="1"/>
        <v>1</v>
      </c>
    </row>
    <row r="55" spans="1:17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  <c r="O55" t="b">
        <f>COUNTIF($A$2:A55,A55)&gt;1</f>
        <v>0</v>
      </c>
      <c r="P55" t="b">
        <f t="shared" si="0"/>
        <v>1</v>
      </c>
      <c r="Q55" t="b">
        <f t="shared" si="1"/>
        <v>1</v>
      </c>
    </row>
    <row r="56" spans="1:17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  <c r="O56" t="b">
        <f>COUNTIF($A$2:A56,A56)&gt;1</f>
        <v>0</v>
      </c>
      <c r="P56" t="b">
        <f t="shared" si="0"/>
        <v>1</v>
      </c>
      <c r="Q56" t="b">
        <f t="shared" si="1"/>
        <v>1</v>
      </c>
    </row>
    <row r="57" spans="1:17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  <c r="O57" t="b">
        <f>COUNTIF($A$2:A57,A57)&gt;1</f>
        <v>0</v>
      </c>
      <c r="P57" t="b">
        <f t="shared" si="0"/>
        <v>1</v>
      </c>
      <c r="Q57" t="b">
        <f t="shared" si="1"/>
        <v>1</v>
      </c>
    </row>
    <row r="58" spans="1:17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  <c r="O58" t="b">
        <f>COUNTIF($A$2:A58,A58)&gt;1</f>
        <v>0</v>
      </c>
      <c r="P58" t="b">
        <f t="shared" si="0"/>
        <v>1</v>
      </c>
      <c r="Q58" t="b">
        <f t="shared" si="1"/>
        <v>1</v>
      </c>
    </row>
    <row r="59" spans="1:17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  <c r="O59" t="b">
        <f>COUNTIF($A$2:A59,A59)&gt;1</f>
        <v>0</v>
      </c>
      <c r="P59" t="b">
        <f t="shared" si="0"/>
        <v>1</v>
      </c>
      <c r="Q59" t="b">
        <f t="shared" si="1"/>
        <v>1</v>
      </c>
    </row>
    <row r="60" spans="1:17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  <c r="O60" t="b">
        <f>COUNTIF($A$2:A60,A60)&gt;1</f>
        <v>0</v>
      </c>
      <c r="P60" t="b">
        <f t="shared" si="0"/>
        <v>1</v>
      </c>
      <c r="Q60" t="b">
        <f t="shared" si="1"/>
        <v>1</v>
      </c>
    </row>
    <row r="61" spans="1:17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  <c r="O61" t="b">
        <f>COUNTIF($A$2:A61,A61)&gt;1</f>
        <v>0</v>
      </c>
      <c r="P61" t="b">
        <f t="shared" si="0"/>
        <v>1</v>
      </c>
      <c r="Q61" t="b">
        <f t="shared" si="1"/>
        <v>1</v>
      </c>
    </row>
    <row r="62" spans="1:17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  <c r="O62" t="b">
        <f>COUNTIF($A$2:A62,A62)&gt;1</f>
        <v>0</v>
      </c>
      <c r="P62" t="b">
        <f t="shared" si="0"/>
        <v>1</v>
      </c>
      <c r="Q62" t="b">
        <f t="shared" si="1"/>
        <v>1</v>
      </c>
    </row>
    <row r="63" spans="1:17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  <c r="O63" t="b">
        <f>COUNTIF($A$2:A63,A63)&gt;1</f>
        <v>0</v>
      </c>
      <c r="P63" t="b">
        <f t="shared" si="0"/>
        <v>1</v>
      </c>
      <c r="Q63" t="b">
        <f t="shared" si="1"/>
        <v>1</v>
      </c>
    </row>
    <row r="64" spans="1:17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  <c r="O64" t="b">
        <f>COUNTIF($A$2:A64,A64)&gt;1</f>
        <v>0</v>
      </c>
      <c r="P64" t="b">
        <f t="shared" si="0"/>
        <v>1</v>
      </c>
      <c r="Q64" t="b">
        <f t="shared" si="1"/>
        <v>1</v>
      </c>
    </row>
    <row r="65" spans="1:17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  <c r="O65" t="b">
        <f>COUNTIF($A$2:A65,A65)&gt;1</f>
        <v>0</v>
      </c>
      <c r="P65" t="b">
        <f t="shared" si="0"/>
        <v>1</v>
      </c>
      <c r="Q65" t="b">
        <f t="shared" si="1"/>
        <v>1</v>
      </c>
    </row>
    <row r="66" spans="1:17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  <c r="O66" t="b">
        <f>COUNTIF($A$2:A66,A66)&gt;1</f>
        <v>0</v>
      </c>
      <c r="P66" t="b">
        <f t="shared" ref="P66:P129" si="2">TRIM(H66)=H66</f>
        <v>1</v>
      </c>
      <c r="Q66" t="b">
        <f t="shared" ref="Q66:Q129" si="3">ROUND(E66*F66,2)=ROUND(N66,2)</f>
        <v>1</v>
      </c>
    </row>
    <row r="67" spans="1:17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  <c r="O67" t="b">
        <f>COUNTIF($A$2:A67,A67)&gt;1</f>
        <v>0</v>
      </c>
      <c r="P67" t="b">
        <f t="shared" si="2"/>
        <v>1</v>
      </c>
      <c r="Q67" t="b">
        <f t="shared" si="3"/>
        <v>1</v>
      </c>
    </row>
    <row r="68" spans="1:17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  <c r="O68" t="b">
        <f>COUNTIF($A$2:A68,A68)&gt;1</f>
        <v>0</v>
      </c>
      <c r="P68" t="b">
        <f t="shared" si="2"/>
        <v>1</v>
      </c>
      <c r="Q68" t="b">
        <f t="shared" si="3"/>
        <v>1</v>
      </c>
    </row>
    <row r="69" spans="1:17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  <c r="O69" t="b">
        <f>COUNTIF($A$2:A69,A69)&gt;1</f>
        <v>0</v>
      </c>
      <c r="P69" t="b">
        <f t="shared" si="2"/>
        <v>1</v>
      </c>
      <c r="Q69" t="b">
        <f t="shared" si="3"/>
        <v>1</v>
      </c>
    </row>
    <row r="70" spans="1:17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  <c r="O70" t="b">
        <f>COUNTIF($A$2:A70,A70)&gt;1</f>
        <v>0</v>
      </c>
      <c r="P70" t="b">
        <f t="shared" si="2"/>
        <v>1</v>
      </c>
      <c r="Q70" t="b">
        <f t="shared" si="3"/>
        <v>1</v>
      </c>
    </row>
    <row r="71" spans="1:17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  <c r="O71" t="b">
        <f>COUNTIF($A$2:A71,A71)&gt;1</f>
        <v>0</v>
      </c>
      <c r="P71" t="b">
        <f t="shared" si="2"/>
        <v>1</v>
      </c>
      <c r="Q71" t="b">
        <f t="shared" si="3"/>
        <v>1</v>
      </c>
    </row>
    <row r="72" spans="1:17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  <c r="O72" t="b">
        <f>COUNTIF($A$2:A72,A72)&gt;1</f>
        <v>0</v>
      </c>
      <c r="P72" t="b">
        <f t="shared" si="2"/>
        <v>1</v>
      </c>
      <c r="Q72" t="b">
        <f t="shared" si="3"/>
        <v>1</v>
      </c>
    </row>
    <row r="73" spans="1:17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  <c r="O73" t="b">
        <f>COUNTIF($A$2:A73,A73)&gt;1</f>
        <v>0</v>
      </c>
      <c r="P73" t="b">
        <f t="shared" si="2"/>
        <v>1</v>
      </c>
      <c r="Q73" t="b">
        <f t="shared" si="3"/>
        <v>1</v>
      </c>
    </row>
    <row r="74" spans="1:17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  <c r="O74" t="b">
        <f>COUNTIF($A$2:A74,A74)&gt;1</f>
        <v>0</v>
      </c>
      <c r="P74" t="b">
        <f t="shared" si="2"/>
        <v>1</v>
      </c>
      <c r="Q74" t="b">
        <f t="shared" si="3"/>
        <v>1</v>
      </c>
    </row>
    <row r="75" spans="1:17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  <c r="O75" t="b">
        <f>COUNTIF($A$2:A75,A75)&gt;1</f>
        <v>0</v>
      </c>
      <c r="P75" t="b">
        <f t="shared" si="2"/>
        <v>1</v>
      </c>
      <c r="Q75" t="b">
        <f t="shared" si="3"/>
        <v>1</v>
      </c>
    </row>
    <row r="76" spans="1:17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  <c r="O76" t="b">
        <f>COUNTIF($A$2:A76,A76)&gt;1</f>
        <v>0</v>
      </c>
      <c r="P76" t="b">
        <f t="shared" si="2"/>
        <v>1</v>
      </c>
      <c r="Q76" t="b">
        <f t="shared" si="3"/>
        <v>1</v>
      </c>
    </row>
    <row r="77" spans="1:17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  <c r="O77" t="b">
        <f>COUNTIF($A$2:A77,A77)&gt;1</f>
        <v>0</v>
      </c>
      <c r="P77" t="b">
        <f t="shared" si="2"/>
        <v>1</v>
      </c>
      <c r="Q77" t="b">
        <f t="shared" si="3"/>
        <v>1</v>
      </c>
    </row>
    <row r="78" spans="1:17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  <c r="O78" t="b">
        <f>COUNTIF($A$2:A78,A78)&gt;1</f>
        <v>0</v>
      </c>
      <c r="P78" t="b">
        <f t="shared" si="2"/>
        <v>1</v>
      </c>
      <c r="Q78" t="b">
        <f t="shared" si="3"/>
        <v>1</v>
      </c>
    </row>
    <row r="79" spans="1:17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  <c r="O79" t="b">
        <f>COUNTIF($A$2:A79,A79)&gt;1</f>
        <v>0</v>
      </c>
      <c r="P79" t="b">
        <f t="shared" si="2"/>
        <v>1</v>
      </c>
      <c r="Q79" t="b">
        <f t="shared" si="3"/>
        <v>1</v>
      </c>
    </row>
    <row r="80" spans="1:17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  <c r="O80" t="b">
        <f>COUNTIF($A$2:A80,A80)&gt;1</f>
        <v>0</v>
      </c>
      <c r="P80" t="b">
        <f t="shared" si="2"/>
        <v>1</v>
      </c>
      <c r="Q80" t="b">
        <f t="shared" si="3"/>
        <v>1</v>
      </c>
    </row>
    <row r="81" spans="1:17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  <c r="O81" t="b">
        <f>COUNTIF($A$2:A81,A81)&gt;1</f>
        <v>0</v>
      </c>
      <c r="P81" t="b">
        <f t="shared" si="2"/>
        <v>1</v>
      </c>
      <c r="Q81" t="b">
        <f t="shared" si="3"/>
        <v>1</v>
      </c>
    </row>
    <row r="82" spans="1:17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  <c r="O82" t="b">
        <f>COUNTIF($A$2:A82,A82)&gt;1</f>
        <v>0</v>
      </c>
      <c r="P82" t="b">
        <f t="shared" si="2"/>
        <v>1</v>
      </c>
      <c r="Q82" t="b">
        <f t="shared" si="3"/>
        <v>1</v>
      </c>
    </row>
    <row r="83" spans="1:17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  <c r="O83" t="b">
        <f>COUNTIF($A$2:A83,A83)&gt;1</f>
        <v>0</v>
      </c>
      <c r="P83" t="b">
        <f t="shared" si="2"/>
        <v>1</v>
      </c>
      <c r="Q83" t="b">
        <f t="shared" si="3"/>
        <v>1</v>
      </c>
    </row>
    <row r="84" spans="1:17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  <c r="O84" t="b">
        <f>COUNTIF($A$2:A84,A84)&gt;1</f>
        <v>0</v>
      </c>
      <c r="P84" t="b">
        <f t="shared" si="2"/>
        <v>1</v>
      </c>
      <c r="Q84" t="b">
        <f t="shared" si="3"/>
        <v>1</v>
      </c>
    </row>
    <row r="85" spans="1:17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  <c r="O85" t="b">
        <f>COUNTIF($A$2:A85,A85)&gt;1</f>
        <v>0</v>
      </c>
      <c r="P85" t="b">
        <f t="shared" si="2"/>
        <v>1</v>
      </c>
      <c r="Q85" t="b">
        <f t="shared" si="3"/>
        <v>1</v>
      </c>
    </row>
    <row r="86" spans="1:17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  <c r="O86" t="b">
        <f>COUNTIF($A$2:A86,A86)&gt;1</f>
        <v>0</v>
      </c>
      <c r="P86" t="b">
        <f t="shared" si="2"/>
        <v>1</v>
      </c>
      <c r="Q86" t="b">
        <f t="shared" si="3"/>
        <v>1</v>
      </c>
    </row>
    <row r="87" spans="1:17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  <c r="O87" t="b">
        <f>COUNTIF($A$2:A87,A87)&gt;1</f>
        <v>0</v>
      </c>
      <c r="P87" t="b">
        <f t="shared" si="2"/>
        <v>1</v>
      </c>
      <c r="Q87" t="b">
        <f t="shared" si="3"/>
        <v>1</v>
      </c>
    </row>
    <row r="88" spans="1:17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  <c r="O88" t="b">
        <f>COUNTIF($A$2:A88,A88)&gt;1</f>
        <v>0</v>
      </c>
      <c r="P88" t="b">
        <f t="shared" si="2"/>
        <v>1</v>
      </c>
      <c r="Q88" t="b">
        <f t="shared" si="3"/>
        <v>1</v>
      </c>
    </row>
    <row r="89" spans="1:17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  <c r="O89" t="b">
        <f>COUNTIF($A$2:A89,A89)&gt;1</f>
        <v>0</v>
      </c>
      <c r="P89" t="b">
        <f t="shared" si="2"/>
        <v>1</v>
      </c>
      <c r="Q89" t="b">
        <f t="shared" si="3"/>
        <v>1</v>
      </c>
    </row>
    <row r="90" spans="1:17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  <c r="O90" t="b">
        <f>COUNTIF($A$2:A90,A90)&gt;1</f>
        <v>0</v>
      </c>
      <c r="P90" t="b">
        <f t="shared" si="2"/>
        <v>1</v>
      </c>
      <c r="Q90" t="b">
        <f t="shared" si="3"/>
        <v>1</v>
      </c>
    </row>
    <row r="91" spans="1:17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  <c r="O91" t="b">
        <f>COUNTIF($A$2:A91,A91)&gt;1</f>
        <v>0</v>
      </c>
      <c r="P91" t="b">
        <f t="shared" si="2"/>
        <v>1</v>
      </c>
      <c r="Q91" t="b">
        <f t="shared" si="3"/>
        <v>1</v>
      </c>
    </row>
    <row r="92" spans="1:17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  <c r="O92" t="b">
        <f>COUNTIF($A$2:A92,A92)&gt;1</f>
        <v>0</v>
      </c>
      <c r="P92" t="b">
        <f t="shared" si="2"/>
        <v>1</v>
      </c>
      <c r="Q92" t="b">
        <f t="shared" si="3"/>
        <v>1</v>
      </c>
    </row>
    <row r="93" spans="1:17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  <c r="O93" t="b">
        <f>COUNTIF($A$2:A93,A93)&gt;1</f>
        <v>0</v>
      </c>
      <c r="P93" t="b">
        <f t="shared" si="2"/>
        <v>1</v>
      </c>
      <c r="Q93" t="b">
        <f t="shared" si="3"/>
        <v>1</v>
      </c>
    </row>
    <row r="94" spans="1:17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  <c r="O94" t="b">
        <f>COUNTIF($A$2:A94,A94)&gt;1</f>
        <v>0</v>
      </c>
      <c r="P94" t="b">
        <f t="shared" si="2"/>
        <v>1</v>
      </c>
      <c r="Q94" t="b">
        <f t="shared" si="3"/>
        <v>1</v>
      </c>
    </row>
    <row r="95" spans="1:17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  <c r="O95" t="b">
        <f>COUNTIF($A$2:A95,A95)&gt;1</f>
        <v>0</v>
      </c>
      <c r="P95" t="b">
        <f t="shared" si="2"/>
        <v>1</v>
      </c>
      <c r="Q95" t="b">
        <f t="shared" si="3"/>
        <v>1</v>
      </c>
    </row>
    <row r="96" spans="1:17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  <c r="O96" t="b">
        <f>COUNTIF($A$2:A96,A96)&gt;1</f>
        <v>0</v>
      </c>
      <c r="P96" t="b">
        <f t="shared" si="2"/>
        <v>1</v>
      </c>
      <c r="Q96" t="b">
        <f t="shared" si="3"/>
        <v>1</v>
      </c>
    </row>
    <row r="97" spans="1:17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  <c r="O97" t="b">
        <f>COUNTIF($A$2:A97,A97)&gt;1</f>
        <v>0</v>
      </c>
      <c r="P97" t="b">
        <f t="shared" si="2"/>
        <v>1</v>
      </c>
      <c r="Q97" t="b">
        <f t="shared" si="3"/>
        <v>1</v>
      </c>
    </row>
    <row r="98" spans="1:17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  <c r="O98" t="b">
        <f>COUNTIF($A$2:A98,A98)&gt;1</f>
        <v>0</v>
      </c>
      <c r="P98" t="b">
        <f t="shared" si="2"/>
        <v>1</v>
      </c>
      <c r="Q98" t="b">
        <f t="shared" si="3"/>
        <v>1</v>
      </c>
    </row>
    <row r="99" spans="1:17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  <c r="O99" t="b">
        <f>COUNTIF($A$2:A99,A99)&gt;1</f>
        <v>0</v>
      </c>
      <c r="P99" t="b">
        <f t="shared" si="2"/>
        <v>1</v>
      </c>
      <c r="Q99" t="b">
        <f t="shared" si="3"/>
        <v>1</v>
      </c>
    </row>
    <row r="100" spans="1:17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  <c r="O100" t="b">
        <f>COUNTIF($A$2:A100,A100)&gt;1</f>
        <v>0</v>
      </c>
      <c r="P100" t="b">
        <f t="shared" si="2"/>
        <v>1</v>
      </c>
      <c r="Q100" t="b">
        <f t="shared" si="3"/>
        <v>1</v>
      </c>
    </row>
    <row r="101" spans="1:17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  <c r="O101" t="b">
        <f>COUNTIF($A$2:A101,A101)&gt;1</f>
        <v>0</v>
      </c>
      <c r="P101" t="b">
        <f t="shared" si="2"/>
        <v>1</v>
      </c>
      <c r="Q101" t="b">
        <f t="shared" si="3"/>
        <v>1</v>
      </c>
    </row>
    <row r="102" spans="1:17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  <c r="O102" t="b">
        <f>COUNTIF($A$2:A102,A102)&gt;1</f>
        <v>0</v>
      </c>
      <c r="P102" t="b">
        <f t="shared" si="2"/>
        <v>1</v>
      </c>
      <c r="Q102" t="b">
        <f t="shared" si="3"/>
        <v>1</v>
      </c>
    </row>
    <row r="103" spans="1:17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  <c r="O103" t="b">
        <f>COUNTIF($A$2:A103,A103)&gt;1</f>
        <v>0</v>
      </c>
      <c r="P103" t="b">
        <f t="shared" si="2"/>
        <v>1</v>
      </c>
      <c r="Q103" t="b">
        <f t="shared" si="3"/>
        <v>1</v>
      </c>
    </row>
    <row r="104" spans="1:17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  <c r="O104" t="b">
        <f>COUNTIF($A$2:A104,A104)&gt;1</f>
        <v>0</v>
      </c>
      <c r="P104" t="b">
        <f t="shared" si="2"/>
        <v>1</v>
      </c>
      <c r="Q104" t="b">
        <f t="shared" si="3"/>
        <v>1</v>
      </c>
    </row>
    <row r="105" spans="1:17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  <c r="O105" t="b">
        <f>COUNTIF($A$2:A105,A105)&gt;1</f>
        <v>0</v>
      </c>
      <c r="P105" t="b">
        <f t="shared" si="2"/>
        <v>1</v>
      </c>
      <c r="Q105" t="b">
        <f t="shared" si="3"/>
        <v>1</v>
      </c>
    </row>
    <row r="106" spans="1:17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  <c r="O106" t="b">
        <f>COUNTIF($A$2:A106,A106)&gt;1</f>
        <v>0</v>
      </c>
      <c r="P106" t="b">
        <f t="shared" si="2"/>
        <v>1</v>
      </c>
      <c r="Q106" t="b">
        <f t="shared" si="3"/>
        <v>1</v>
      </c>
    </row>
    <row r="107" spans="1:17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  <c r="O107" t="b">
        <f>COUNTIF($A$2:A107,A107)&gt;1</f>
        <v>0</v>
      </c>
      <c r="P107" t="b">
        <f t="shared" si="2"/>
        <v>1</v>
      </c>
      <c r="Q107" t="b">
        <f t="shared" si="3"/>
        <v>1</v>
      </c>
    </row>
    <row r="108" spans="1:17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  <c r="O108" t="b">
        <f>COUNTIF($A$2:A108,A108)&gt;1</f>
        <v>0</v>
      </c>
      <c r="P108" t="b">
        <f t="shared" si="2"/>
        <v>1</v>
      </c>
      <c r="Q108" t="b">
        <f t="shared" si="3"/>
        <v>1</v>
      </c>
    </row>
    <row r="109" spans="1:17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  <c r="O109" t="b">
        <f>COUNTIF($A$2:A109,A109)&gt;1</f>
        <v>0</v>
      </c>
      <c r="P109" t="b">
        <f t="shared" si="2"/>
        <v>1</v>
      </c>
      <c r="Q109" t="b">
        <f t="shared" si="3"/>
        <v>1</v>
      </c>
    </row>
    <row r="110" spans="1:17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  <c r="O110" t="b">
        <f>COUNTIF($A$2:A110,A110)&gt;1</f>
        <v>0</v>
      </c>
      <c r="P110" t="b">
        <f t="shared" si="2"/>
        <v>1</v>
      </c>
      <c r="Q110" t="b">
        <f t="shared" si="3"/>
        <v>1</v>
      </c>
    </row>
    <row r="111" spans="1:17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  <c r="O111" t="b">
        <f>COUNTIF($A$2:A111,A111)&gt;1</f>
        <v>0</v>
      </c>
      <c r="P111" t="b">
        <f t="shared" si="2"/>
        <v>1</v>
      </c>
      <c r="Q111" t="b">
        <f t="shared" si="3"/>
        <v>1</v>
      </c>
    </row>
    <row r="112" spans="1:17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  <c r="O112" t="b">
        <f>COUNTIF($A$2:A112,A112)&gt;1</f>
        <v>0</v>
      </c>
      <c r="P112" t="b">
        <f t="shared" si="2"/>
        <v>1</v>
      </c>
      <c r="Q112" t="b">
        <f t="shared" si="3"/>
        <v>1</v>
      </c>
    </row>
    <row r="113" spans="1:17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  <c r="O113" t="b">
        <f>COUNTIF($A$2:A113,A113)&gt;1</f>
        <v>0</v>
      </c>
      <c r="P113" t="b">
        <f t="shared" si="2"/>
        <v>1</v>
      </c>
      <c r="Q113" t="b">
        <f t="shared" si="3"/>
        <v>1</v>
      </c>
    </row>
    <row r="114" spans="1:17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  <c r="O114" t="b">
        <f>COUNTIF($A$2:A114,A114)&gt;1</f>
        <v>0</v>
      </c>
      <c r="P114" t="b">
        <f t="shared" si="2"/>
        <v>1</v>
      </c>
      <c r="Q114" t="b">
        <f t="shared" si="3"/>
        <v>1</v>
      </c>
    </row>
    <row r="115" spans="1:17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  <c r="O115" t="b">
        <f>COUNTIF($A$2:A115,A115)&gt;1</f>
        <v>0</v>
      </c>
      <c r="P115" t="b">
        <f t="shared" si="2"/>
        <v>1</v>
      </c>
      <c r="Q115" t="b">
        <f t="shared" si="3"/>
        <v>1</v>
      </c>
    </row>
    <row r="116" spans="1:17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  <c r="O116" t="b">
        <f>COUNTIF($A$2:A116,A116)&gt;1</f>
        <v>0</v>
      </c>
      <c r="P116" t="b">
        <f t="shared" si="2"/>
        <v>1</v>
      </c>
      <c r="Q116" t="b">
        <f t="shared" si="3"/>
        <v>1</v>
      </c>
    </row>
    <row r="117" spans="1:17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  <c r="O117" t="b">
        <f>COUNTIF($A$2:A117,A117)&gt;1</f>
        <v>0</v>
      </c>
      <c r="P117" t="b">
        <f t="shared" si="2"/>
        <v>1</v>
      </c>
      <c r="Q117" t="b">
        <f t="shared" si="3"/>
        <v>1</v>
      </c>
    </row>
    <row r="118" spans="1:17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  <c r="O118" t="b">
        <f>COUNTIF($A$2:A118,A118)&gt;1</f>
        <v>0</v>
      </c>
      <c r="P118" t="b">
        <f t="shared" si="2"/>
        <v>1</v>
      </c>
      <c r="Q118" t="b">
        <f t="shared" si="3"/>
        <v>1</v>
      </c>
    </row>
    <row r="119" spans="1:17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  <c r="O119" t="b">
        <f>COUNTIF($A$2:A119,A119)&gt;1</f>
        <v>0</v>
      </c>
      <c r="P119" t="b">
        <f t="shared" si="2"/>
        <v>1</v>
      </c>
      <c r="Q119" t="b">
        <f t="shared" si="3"/>
        <v>1</v>
      </c>
    </row>
    <row r="120" spans="1:17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  <c r="O120" t="b">
        <f>COUNTIF($A$2:A120,A120)&gt;1</f>
        <v>0</v>
      </c>
      <c r="P120" t="b">
        <f t="shared" si="2"/>
        <v>1</v>
      </c>
      <c r="Q120" t="b">
        <f t="shared" si="3"/>
        <v>1</v>
      </c>
    </row>
    <row r="121" spans="1:17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  <c r="O121" t="b">
        <f>COUNTIF($A$2:A121,A121)&gt;1</f>
        <v>0</v>
      </c>
      <c r="P121" t="b">
        <f t="shared" si="2"/>
        <v>1</v>
      </c>
      <c r="Q121" t="b">
        <f t="shared" si="3"/>
        <v>1</v>
      </c>
    </row>
    <row r="122" spans="1:17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  <c r="O122" t="b">
        <f>COUNTIF($A$2:A122,A122)&gt;1</f>
        <v>0</v>
      </c>
      <c r="P122" t="b">
        <f t="shared" si="2"/>
        <v>1</v>
      </c>
      <c r="Q122" t="b">
        <f t="shared" si="3"/>
        <v>1</v>
      </c>
    </row>
    <row r="123" spans="1:17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  <c r="O123" t="b">
        <f>COUNTIF($A$2:A123,A123)&gt;1</f>
        <v>0</v>
      </c>
      <c r="P123" t="b">
        <f t="shared" si="2"/>
        <v>1</v>
      </c>
      <c r="Q123" t="b">
        <f t="shared" si="3"/>
        <v>1</v>
      </c>
    </row>
    <row r="124" spans="1:17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  <c r="O124" t="b">
        <f>COUNTIF($A$2:A124,A124)&gt;1</f>
        <v>0</v>
      </c>
      <c r="P124" t="b">
        <f t="shared" si="2"/>
        <v>1</v>
      </c>
      <c r="Q124" t="b">
        <f t="shared" si="3"/>
        <v>1</v>
      </c>
    </row>
    <row r="125" spans="1:17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834.12000000000012</v>
      </c>
      <c r="O125" t="b">
        <f>COUNTIF($A$2:A125,A125)&gt;1</f>
        <v>0</v>
      </c>
      <c r="P125" t="b">
        <f t="shared" si="2"/>
        <v>1</v>
      </c>
      <c r="Q125" t="b">
        <f t="shared" si="3"/>
        <v>1</v>
      </c>
    </row>
    <row r="126" spans="1:17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  <c r="O126" t="b">
        <f>COUNTIF($A$2:A126,A126)&gt;1</f>
        <v>0</v>
      </c>
      <c r="P126" t="b">
        <f t="shared" si="2"/>
        <v>1</v>
      </c>
      <c r="Q126" t="b">
        <f t="shared" si="3"/>
        <v>1</v>
      </c>
    </row>
    <row r="127" spans="1:17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  <c r="O127" t="b">
        <f>COUNTIF($A$2:A127,A127)&gt;1</f>
        <v>0</v>
      </c>
      <c r="P127" t="b">
        <f t="shared" si="2"/>
        <v>1</v>
      </c>
      <c r="Q127" t="b">
        <f t="shared" si="3"/>
        <v>1</v>
      </c>
    </row>
    <row r="128" spans="1:17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  <c r="O128" t="b">
        <f>COUNTIF($A$2:A128,A128)&gt;1</f>
        <v>0</v>
      </c>
      <c r="P128" t="b">
        <f t="shared" si="2"/>
        <v>1</v>
      </c>
      <c r="Q128" t="b">
        <f t="shared" si="3"/>
        <v>1</v>
      </c>
    </row>
    <row r="129" spans="1:17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  <c r="O129" t="b">
        <f>COUNTIF($A$2:A129,A129)&gt;1</f>
        <v>0</v>
      </c>
      <c r="P129" t="b">
        <f t="shared" si="2"/>
        <v>1</v>
      </c>
      <c r="Q129" t="b">
        <f t="shared" si="3"/>
        <v>1</v>
      </c>
    </row>
    <row r="130" spans="1:17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  <c r="O130" t="b">
        <f>COUNTIF($A$2:A130,A130)&gt;1</f>
        <v>0</v>
      </c>
      <c r="P130" t="b">
        <f t="shared" ref="P130:P193" si="4">TRIM(H130)=H130</f>
        <v>1</v>
      </c>
      <c r="Q130" t="b">
        <f t="shared" ref="Q130:Q193" si="5">ROUND(E130*F130,2)=ROUND(N130,2)</f>
        <v>1</v>
      </c>
    </row>
    <row r="131" spans="1:17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  <c r="O131" t="b">
        <f>COUNTIF($A$2:A131,A131)&gt;1</f>
        <v>0</v>
      </c>
      <c r="P131" t="b">
        <f t="shared" si="4"/>
        <v>1</v>
      </c>
      <c r="Q131" t="b">
        <f t="shared" si="5"/>
        <v>1</v>
      </c>
    </row>
    <row r="132" spans="1:17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  <c r="O132" t="b">
        <f>COUNTIF($A$2:A132,A132)&gt;1</f>
        <v>0</v>
      </c>
      <c r="P132" t="b">
        <f t="shared" si="4"/>
        <v>1</v>
      </c>
      <c r="Q132" t="b">
        <f t="shared" si="5"/>
        <v>1</v>
      </c>
    </row>
    <row r="133" spans="1:17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  <c r="O133" t="b">
        <f>COUNTIF($A$2:A133,A133)&gt;1</f>
        <v>0</v>
      </c>
      <c r="P133" t="b">
        <f t="shared" si="4"/>
        <v>1</v>
      </c>
      <c r="Q133" t="b">
        <f t="shared" si="5"/>
        <v>1</v>
      </c>
    </row>
    <row r="134" spans="1:17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  <c r="O134" t="b">
        <f>COUNTIF($A$2:A134,A134)&gt;1</f>
        <v>0</v>
      </c>
      <c r="P134" t="b">
        <f t="shared" si="4"/>
        <v>1</v>
      </c>
      <c r="Q134" t="b">
        <f t="shared" si="5"/>
        <v>1</v>
      </c>
    </row>
    <row r="135" spans="1:17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  <c r="O135" t="b">
        <f>COUNTIF($A$2:A135,A135)&gt;1</f>
        <v>0</v>
      </c>
      <c r="P135" t="b">
        <f t="shared" si="4"/>
        <v>1</v>
      </c>
      <c r="Q135" t="b">
        <f t="shared" si="5"/>
        <v>1</v>
      </c>
    </row>
    <row r="136" spans="1:17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  <c r="O136" t="b">
        <f>COUNTIF($A$2:A136,A136)&gt;1</f>
        <v>0</v>
      </c>
      <c r="P136" t="b">
        <f t="shared" si="4"/>
        <v>1</v>
      </c>
      <c r="Q136" t="b">
        <f t="shared" si="5"/>
        <v>1</v>
      </c>
    </row>
    <row r="137" spans="1:17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  <c r="O137" t="b">
        <f>COUNTIF($A$2:A137,A137)&gt;1</f>
        <v>0</v>
      </c>
      <c r="P137" t="b">
        <f t="shared" si="4"/>
        <v>1</v>
      </c>
      <c r="Q137" t="b">
        <f t="shared" si="5"/>
        <v>1</v>
      </c>
    </row>
    <row r="138" spans="1:17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  <c r="O138" t="b">
        <f>COUNTIF($A$2:A138,A138)&gt;1</f>
        <v>0</v>
      </c>
      <c r="P138" t="b">
        <f t="shared" si="4"/>
        <v>1</v>
      </c>
      <c r="Q138" t="b">
        <f t="shared" si="5"/>
        <v>1</v>
      </c>
    </row>
    <row r="139" spans="1:17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  <c r="O139" t="b">
        <f>COUNTIF($A$2:A139,A139)&gt;1</f>
        <v>0</v>
      </c>
      <c r="P139" t="b">
        <f t="shared" si="4"/>
        <v>1</v>
      </c>
      <c r="Q139" t="b">
        <f t="shared" si="5"/>
        <v>1</v>
      </c>
    </row>
    <row r="140" spans="1:17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  <c r="O140" t="b">
        <f>COUNTIF($A$2:A140,A140)&gt;1</f>
        <v>0</v>
      </c>
      <c r="P140" t="b">
        <f t="shared" si="4"/>
        <v>1</v>
      </c>
      <c r="Q140" t="b">
        <f t="shared" si="5"/>
        <v>1</v>
      </c>
    </row>
    <row r="141" spans="1:17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  <c r="O141" t="b">
        <f>COUNTIF($A$2:A141,A141)&gt;1</f>
        <v>0</v>
      </c>
      <c r="P141" t="b">
        <f t="shared" si="4"/>
        <v>1</v>
      </c>
      <c r="Q141" t="b">
        <f t="shared" si="5"/>
        <v>1</v>
      </c>
    </row>
    <row r="142" spans="1:17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  <c r="O142" t="b">
        <f>COUNTIF($A$2:A142,A142)&gt;1</f>
        <v>0</v>
      </c>
      <c r="P142" t="b">
        <f t="shared" si="4"/>
        <v>1</v>
      </c>
      <c r="Q142" t="b">
        <f t="shared" si="5"/>
        <v>1</v>
      </c>
    </row>
    <row r="143" spans="1:17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  <c r="O143" t="b">
        <f>COUNTIF($A$2:A143,A143)&gt;1</f>
        <v>0</v>
      </c>
      <c r="P143" t="b">
        <f t="shared" si="4"/>
        <v>1</v>
      </c>
      <c r="Q143" t="b">
        <f t="shared" si="5"/>
        <v>1</v>
      </c>
    </row>
    <row r="144" spans="1:17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  <c r="O144" t="b">
        <f>COUNTIF($A$2:A144,A144)&gt;1</f>
        <v>0</v>
      </c>
      <c r="P144" t="b">
        <f t="shared" si="4"/>
        <v>1</v>
      </c>
      <c r="Q144" t="b">
        <f t="shared" si="5"/>
        <v>1</v>
      </c>
    </row>
    <row r="145" spans="1:17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  <c r="O145" t="b">
        <f>COUNTIF($A$2:A145,A145)&gt;1</f>
        <v>0</v>
      </c>
      <c r="P145" t="b">
        <f t="shared" si="4"/>
        <v>1</v>
      </c>
      <c r="Q145" t="b">
        <f t="shared" si="5"/>
        <v>1</v>
      </c>
    </row>
    <row r="146" spans="1:17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  <c r="O146" t="b">
        <f>COUNTIF($A$2:A146,A146)&gt;1</f>
        <v>0</v>
      </c>
      <c r="P146" t="b">
        <f t="shared" si="4"/>
        <v>1</v>
      </c>
      <c r="Q146" t="b">
        <f t="shared" si="5"/>
        <v>1</v>
      </c>
    </row>
    <row r="147" spans="1:17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  <c r="O147" t="b">
        <f>COUNTIF($A$2:A147,A147)&gt;1</f>
        <v>0</v>
      </c>
      <c r="P147" t="b">
        <f t="shared" si="4"/>
        <v>1</v>
      </c>
      <c r="Q147" t="b">
        <f t="shared" si="5"/>
        <v>1</v>
      </c>
    </row>
    <row r="148" spans="1:17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  <c r="O148" t="b">
        <f>COUNTIF($A$2:A148,A148)&gt;1</f>
        <v>0</v>
      </c>
      <c r="P148" t="b">
        <f t="shared" si="4"/>
        <v>1</v>
      </c>
      <c r="Q148" t="b">
        <f t="shared" si="5"/>
        <v>1</v>
      </c>
    </row>
    <row r="149" spans="1:17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  <c r="O149" t="b">
        <f>COUNTIF($A$2:A149,A149)&gt;1</f>
        <v>0</v>
      </c>
      <c r="P149" t="b">
        <f t="shared" si="4"/>
        <v>1</v>
      </c>
      <c r="Q149" t="b">
        <f t="shared" si="5"/>
        <v>1</v>
      </c>
    </row>
    <row r="150" spans="1:17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  <c r="O150" t="b">
        <f>COUNTIF($A$2:A150,A150)&gt;1</f>
        <v>0</v>
      </c>
      <c r="P150" t="b">
        <f t="shared" si="4"/>
        <v>1</v>
      </c>
      <c r="Q150" t="b">
        <f t="shared" si="5"/>
        <v>1</v>
      </c>
    </row>
    <row r="151" spans="1:17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  <c r="O151" t="b">
        <f>COUNTIF($A$2:A151,A151)&gt;1</f>
        <v>0</v>
      </c>
      <c r="P151" t="b">
        <f t="shared" si="4"/>
        <v>1</v>
      </c>
      <c r="Q151" t="b">
        <f t="shared" si="5"/>
        <v>1</v>
      </c>
    </row>
    <row r="152" spans="1:17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  <c r="O152" t="b">
        <f>COUNTIF($A$2:A152,A152)&gt;1</f>
        <v>0</v>
      </c>
      <c r="P152" t="b">
        <f t="shared" si="4"/>
        <v>1</v>
      </c>
      <c r="Q152" t="b">
        <f t="shared" si="5"/>
        <v>1</v>
      </c>
    </row>
    <row r="153" spans="1:17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  <c r="O153" t="b">
        <f>COUNTIF($A$2:A153,A153)&gt;1</f>
        <v>0</v>
      </c>
      <c r="P153" t="b">
        <f t="shared" si="4"/>
        <v>1</v>
      </c>
      <c r="Q153" t="b">
        <f t="shared" si="5"/>
        <v>1</v>
      </c>
    </row>
    <row r="154" spans="1:17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  <c r="O154" t="b">
        <f>COUNTIF($A$2:A154,A154)&gt;1</f>
        <v>0</v>
      </c>
      <c r="P154" t="b">
        <f t="shared" si="4"/>
        <v>1</v>
      </c>
      <c r="Q154" t="b">
        <f t="shared" si="5"/>
        <v>1</v>
      </c>
    </row>
    <row r="155" spans="1:17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  <c r="O155" t="b">
        <f>COUNTIF($A$2:A155,A155)&gt;1</f>
        <v>0</v>
      </c>
      <c r="P155" t="b">
        <f t="shared" si="4"/>
        <v>1</v>
      </c>
      <c r="Q155" t="b">
        <f t="shared" si="5"/>
        <v>1</v>
      </c>
    </row>
    <row r="156" spans="1:17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  <c r="O156" t="b">
        <f>COUNTIF($A$2:A156,A156)&gt;1</f>
        <v>0</v>
      </c>
      <c r="P156" t="b">
        <f t="shared" si="4"/>
        <v>1</v>
      </c>
      <c r="Q156" t="b">
        <f t="shared" si="5"/>
        <v>1</v>
      </c>
    </row>
    <row r="157" spans="1:17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  <c r="O157" t="b">
        <f>COUNTIF($A$2:A157,A157)&gt;1</f>
        <v>0</v>
      </c>
      <c r="P157" t="b">
        <f t="shared" si="4"/>
        <v>1</v>
      </c>
      <c r="Q157" t="b">
        <f t="shared" si="5"/>
        <v>1</v>
      </c>
    </row>
    <row r="158" spans="1:17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  <c r="O158" t="b">
        <f>COUNTIF($A$2:A158,A158)&gt;1</f>
        <v>0</v>
      </c>
      <c r="P158" t="b">
        <f t="shared" si="4"/>
        <v>1</v>
      </c>
      <c r="Q158" t="b">
        <f t="shared" si="5"/>
        <v>1</v>
      </c>
    </row>
    <row r="159" spans="1:17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  <c r="O159" t="b">
        <f>COUNTIF($A$2:A159,A159)&gt;1</f>
        <v>0</v>
      </c>
      <c r="P159" t="b">
        <f t="shared" si="4"/>
        <v>1</v>
      </c>
      <c r="Q159" t="b">
        <f t="shared" si="5"/>
        <v>1</v>
      </c>
    </row>
    <row r="160" spans="1:17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  <c r="O160" t="b">
        <f>COUNTIF($A$2:A160,A160)&gt;1</f>
        <v>0</v>
      </c>
      <c r="P160" t="b">
        <f t="shared" si="4"/>
        <v>1</v>
      </c>
      <c r="Q160" t="b">
        <f t="shared" si="5"/>
        <v>1</v>
      </c>
    </row>
    <row r="161" spans="1:17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  <c r="O161" t="b">
        <f>COUNTIF($A$2:A161,A161)&gt;1</f>
        <v>0</v>
      </c>
      <c r="P161" t="b">
        <f t="shared" si="4"/>
        <v>1</v>
      </c>
      <c r="Q161" t="b">
        <f t="shared" si="5"/>
        <v>1</v>
      </c>
    </row>
    <row r="162" spans="1:17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  <c r="O162" t="b">
        <f>COUNTIF($A$2:A162,A162)&gt;1</f>
        <v>0</v>
      </c>
      <c r="P162" t="b">
        <f t="shared" si="4"/>
        <v>1</v>
      </c>
      <c r="Q162" t="b">
        <f t="shared" si="5"/>
        <v>1</v>
      </c>
    </row>
    <row r="163" spans="1:17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  <c r="O163" t="b">
        <f>COUNTIF($A$2:A163,A163)&gt;1</f>
        <v>0</v>
      </c>
      <c r="P163" t="b">
        <f t="shared" si="4"/>
        <v>1</v>
      </c>
      <c r="Q163" t="b">
        <f t="shared" si="5"/>
        <v>1</v>
      </c>
    </row>
    <row r="164" spans="1:17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  <c r="O164" t="b">
        <f>COUNTIF($A$2:A164,A164)&gt;1</f>
        <v>0</v>
      </c>
      <c r="P164" t="b">
        <f t="shared" si="4"/>
        <v>1</v>
      </c>
      <c r="Q164" t="b">
        <f t="shared" si="5"/>
        <v>1</v>
      </c>
    </row>
    <row r="165" spans="1:17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  <c r="O165" t="b">
        <f>COUNTIF($A$2:A165,A165)&gt;1</f>
        <v>0</v>
      </c>
      <c r="P165" t="b">
        <f t="shared" si="4"/>
        <v>1</v>
      </c>
      <c r="Q165" t="b">
        <f t="shared" si="5"/>
        <v>1</v>
      </c>
    </row>
    <row r="166" spans="1:17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  <c r="O166" t="b">
        <f>COUNTIF($A$2:A166,A166)&gt;1</f>
        <v>0</v>
      </c>
      <c r="P166" t="b">
        <f t="shared" si="4"/>
        <v>1</v>
      </c>
      <c r="Q166" t="b">
        <f t="shared" si="5"/>
        <v>1</v>
      </c>
    </row>
    <row r="167" spans="1:17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  <c r="O167" t="b">
        <f>COUNTIF($A$2:A167,A167)&gt;1</f>
        <v>0</v>
      </c>
      <c r="P167" t="b">
        <f t="shared" si="4"/>
        <v>1</v>
      </c>
      <c r="Q167" t="b">
        <f t="shared" si="5"/>
        <v>1</v>
      </c>
    </row>
    <row r="168" spans="1:17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  <c r="O168" t="b">
        <f>COUNTIF($A$2:A168,A168)&gt;1</f>
        <v>0</v>
      </c>
      <c r="P168" t="b">
        <f t="shared" si="4"/>
        <v>1</v>
      </c>
      <c r="Q168" t="b">
        <f t="shared" si="5"/>
        <v>1</v>
      </c>
    </row>
    <row r="169" spans="1:17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  <c r="O169" t="b">
        <f>COUNTIF($A$2:A169,A169)&gt;1</f>
        <v>0</v>
      </c>
      <c r="P169" t="b">
        <f t="shared" si="4"/>
        <v>1</v>
      </c>
      <c r="Q169" t="b">
        <f t="shared" si="5"/>
        <v>1</v>
      </c>
    </row>
    <row r="170" spans="1:17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  <c r="O170" t="b">
        <f>COUNTIF($A$2:A170,A170)&gt;1</f>
        <v>0</v>
      </c>
      <c r="P170" t="b">
        <f t="shared" si="4"/>
        <v>1</v>
      </c>
      <c r="Q170" t="b">
        <f t="shared" si="5"/>
        <v>1</v>
      </c>
    </row>
    <row r="171" spans="1:17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  <c r="O171" t="b">
        <f>COUNTIF($A$2:A171,A171)&gt;1</f>
        <v>0</v>
      </c>
      <c r="P171" t="b">
        <f t="shared" si="4"/>
        <v>1</v>
      </c>
      <c r="Q171" t="b">
        <f t="shared" si="5"/>
        <v>1</v>
      </c>
    </row>
    <row r="172" spans="1:17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  <c r="O172" t="b">
        <f>COUNTIF($A$2:A172,A172)&gt;1</f>
        <v>0</v>
      </c>
      <c r="P172" t="b">
        <f t="shared" si="4"/>
        <v>1</v>
      </c>
      <c r="Q172" t="b">
        <f t="shared" si="5"/>
        <v>1</v>
      </c>
    </row>
    <row r="173" spans="1:17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  <c r="O173" t="b">
        <f>COUNTIF($A$2:A173,A173)&gt;1</f>
        <v>0</v>
      </c>
      <c r="P173" t="b">
        <f t="shared" si="4"/>
        <v>1</v>
      </c>
      <c r="Q173" t="b">
        <f t="shared" si="5"/>
        <v>1</v>
      </c>
    </row>
    <row r="174" spans="1:17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  <c r="O174" t="b">
        <f>COUNTIF($A$2:A174,A174)&gt;1</f>
        <v>0</v>
      </c>
      <c r="P174" t="b">
        <f t="shared" si="4"/>
        <v>1</v>
      </c>
      <c r="Q174" t="b">
        <f t="shared" si="5"/>
        <v>1</v>
      </c>
    </row>
    <row r="175" spans="1:17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  <c r="O175" t="b">
        <f>COUNTIF($A$2:A175,A175)&gt;1</f>
        <v>0</v>
      </c>
      <c r="P175" t="b">
        <f t="shared" si="4"/>
        <v>1</v>
      </c>
      <c r="Q175" t="b">
        <f t="shared" si="5"/>
        <v>1</v>
      </c>
    </row>
    <row r="176" spans="1:17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  <c r="O176" t="b">
        <f>COUNTIF($A$2:A176,A176)&gt;1</f>
        <v>0</v>
      </c>
      <c r="P176" t="b">
        <f t="shared" si="4"/>
        <v>1</v>
      </c>
      <c r="Q176" t="b">
        <f t="shared" si="5"/>
        <v>1</v>
      </c>
    </row>
    <row r="177" spans="1:17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  <c r="O177" t="b">
        <f>COUNTIF($A$2:A177,A177)&gt;1</f>
        <v>0</v>
      </c>
      <c r="P177" t="b">
        <f t="shared" si="4"/>
        <v>1</v>
      </c>
      <c r="Q177" t="b">
        <f t="shared" si="5"/>
        <v>1</v>
      </c>
    </row>
    <row r="178" spans="1:17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  <c r="O178" t="b">
        <f>COUNTIF($A$2:A178,A178)&gt;1</f>
        <v>0</v>
      </c>
      <c r="P178" t="b">
        <f t="shared" si="4"/>
        <v>1</v>
      </c>
      <c r="Q178" t="b">
        <f t="shared" si="5"/>
        <v>1</v>
      </c>
    </row>
    <row r="179" spans="1:17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  <c r="O179" t="b">
        <f>COUNTIF($A$2:A179,A179)&gt;1</f>
        <v>0</v>
      </c>
      <c r="P179" t="b">
        <f t="shared" si="4"/>
        <v>1</v>
      </c>
      <c r="Q179" t="b">
        <f t="shared" si="5"/>
        <v>1</v>
      </c>
    </row>
    <row r="180" spans="1:17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  <c r="O180" t="b">
        <f>COUNTIF($A$2:A180,A180)&gt;1</f>
        <v>0</v>
      </c>
      <c r="P180" t="b">
        <f t="shared" si="4"/>
        <v>1</v>
      </c>
      <c r="Q180" t="b">
        <f t="shared" si="5"/>
        <v>1</v>
      </c>
    </row>
    <row r="181" spans="1:17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  <c r="O181" t="b">
        <f>COUNTIF($A$2:A181,A181)&gt;1</f>
        <v>0</v>
      </c>
      <c r="P181" t="b">
        <f t="shared" si="4"/>
        <v>1</v>
      </c>
      <c r="Q181" t="b">
        <f t="shared" si="5"/>
        <v>1</v>
      </c>
    </row>
    <row r="182" spans="1:17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  <c r="O182" t="b">
        <f>COUNTIF($A$2:A182,A182)&gt;1</f>
        <v>0</v>
      </c>
      <c r="P182" t="b">
        <f t="shared" si="4"/>
        <v>1</v>
      </c>
      <c r="Q182" t="b">
        <f t="shared" si="5"/>
        <v>1</v>
      </c>
    </row>
    <row r="183" spans="1:17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  <c r="O183" t="b">
        <f>COUNTIF($A$2:A183,A183)&gt;1</f>
        <v>0</v>
      </c>
      <c r="P183" t="b">
        <f t="shared" si="4"/>
        <v>1</v>
      </c>
      <c r="Q183" t="b">
        <f t="shared" si="5"/>
        <v>1</v>
      </c>
    </row>
    <row r="184" spans="1:17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  <c r="O184" t="b">
        <f>COUNTIF($A$2:A184,A184)&gt;1</f>
        <v>0</v>
      </c>
      <c r="P184" t="b">
        <f t="shared" si="4"/>
        <v>1</v>
      </c>
      <c r="Q184" t="b">
        <f t="shared" si="5"/>
        <v>1</v>
      </c>
    </row>
    <row r="185" spans="1:17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  <c r="O185" t="b">
        <f>COUNTIF($A$2:A185,A185)&gt;1</f>
        <v>0</v>
      </c>
      <c r="P185" t="b">
        <f t="shared" si="4"/>
        <v>1</v>
      </c>
      <c r="Q185" t="b">
        <f t="shared" si="5"/>
        <v>1</v>
      </c>
    </row>
    <row r="186" spans="1:17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  <c r="O186" t="b">
        <f>COUNTIF($A$2:A186,A186)&gt;1</f>
        <v>0</v>
      </c>
      <c r="P186" t="b">
        <f t="shared" si="4"/>
        <v>1</v>
      </c>
      <c r="Q186" t="b">
        <f t="shared" si="5"/>
        <v>1</v>
      </c>
    </row>
    <row r="187" spans="1:17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  <c r="O187" t="b">
        <f>COUNTIF($A$2:A187,A187)&gt;1</f>
        <v>0</v>
      </c>
      <c r="P187" t="b">
        <f t="shared" si="4"/>
        <v>1</v>
      </c>
      <c r="Q187" t="b">
        <f t="shared" si="5"/>
        <v>1</v>
      </c>
    </row>
    <row r="188" spans="1:17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  <c r="O188" t="b">
        <f>COUNTIF($A$2:A188,A188)&gt;1</f>
        <v>0</v>
      </c>
      <c r="P188" t="b">
        <f t="shared" si="4"/>
        <v>1</v>
      </c>
      <c r="Q188" t="b">
        <f t="shared" si="5"/>
        <v>1</v>
      </c>
    </row>
    <row r="189" spans="1:17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  <c r="O189" t="b">
        <f>COUNTIF($A$2:A189,A189)&gt;1</f>
        <v>0</v>
      </c>
      <c r="P189" t="b">
        <f t="shared" si="4"/>
        <v>1</v>
      </c>
      <c r="Q189" t="b">
        <f t="shared" si="5"/>
        <v>1</v>
      </c>
    </row>
    <row r="190" spans="1:17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  <c r="O190" t="b">
        <f>COUNTIF($A$2:A190,A190)&gt;1</f>
        <v>0</v>
      </c>
      <c r="P190" t="b">
        <f t="shared" si="4"/>
        <v>1</v>
      </c>
      <c r="Q190" t="b">
        <f t="shared" si="5"/>
        <v>1</v>
      </c>
    </row>
    <row r="191" spans="1:17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  <c r="O191" t="b">
        <f>COUNTIF($A$2:A191,A191)&gt;1</f>
        <v>0</v>
      </c>
      <c r="P191" t="b">
        <f t="shared" si="4"/>
        <v>1</v>
      </c>
      <c r="Q191" t="b">
        <f t="shared" si="5"/>
        <v>1</v>
      </c>
    </row>
    <row r="192" spans="1:17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  <c r="O192" t="b">
        <f>COUNTIF($A$2:A192,A192)&gt;1</f>
        <v>0</v>
      </c>
      <c r="P192" t="b">
        <f t="shared" si="4"/>
        <v>1</v>
      </c>
      <c r="Q192" t="b">
        <f t="shared" si="5"/>
        <v>1</v>
      </c>
    </row>
    <row r="193" spans="1:17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  <c r="O193" t="b">
        <f>COUNTIF($A$2:A193,A193)&gt;1</f>
        <v>0</v>
      </c>
      <c r="P193" t="b">
        <f t="shared" si="4"/>
        <v>1</v>
      </c>
      <c r="Q193" t="b">
        <f t="shared" si="5"/>
        <v>1</v>
      </c>
    </row>
    <row r="194" spans="1:17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  <c r="O194" t="b">
        <f>COUNTIF($A$2:A194,A194)&gt;1</f>
        <v>0</v>
      </c>
      <c r="P194" t="b">
        <f t="shared" ref="P194:P257" si="6">TRIM(H194)=H194</f>
        <v>1</v>
      </c>
      <c r="Q194" t="b">
        <f t="shared" ref="Q194:Q257" si="7">ROUND(E194*F194,2)=ROUND(N194,2)</f>
        <v>1</v>
      </c>
    </row>
    <row r="195" spans="1:17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  <c r="O195" t="b">
        <f>COUNTIF($A$2:A195,A195)&gt;1</f>
        <v>0</v>
      </c>
      <c r="P195" t="b">
        <f t="shared" si="6"/>
        <v>1</v>
      </c>
      <c r="Q195" t="b">
        <f t="shared" si="7"/>
        <v>1</v>
      </c>
    </row>
    <row r="196" spans="1:17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  <c r="O196" t="b">
        <f>COUNTIF($A$2:A196,A196)&gt;1</f>
        <v>0</v>
      </c>
      <c r="P196" t="b">
        <f t="shared" si="6"/>
        <v>1</v>
      </c>
      <c r="Q196" t="b">
        <f t="shared" si="7"/>
        <v>1</v>
      </c>
    </row>
    <row r="197" spans="1:17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  <c r="O197" t="b">
        <f>COUNTIF($A$2:A197,A197)&gt;1</f>
        <v>0</v>
      </c>
      <c r="P197" t="b">
        <f t="shared" si="6"/>
        <v>1</v>
      </c>
      <c r="Q197" t="b">
        <f t="shared" si="7"/>
        <v>1</v>
      </c>
    </row>
    <row r="198" spans="1:17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  <c r="O198" t="b">
        <f>COUNTIF($A$2:A198,A198)&gt;1</f>
        <v>0</v>
      </c>
      <c r="P198" t="b">
        <f t="shared" si="6"/>
        <v>1</v>
      </c>
      <c r="Q198" t="b">
        <f t="shared" si="7"/>
        <v>1</v>
      </c>
    </row>
    <row r="199" spans="1:17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  <c r="O199" t="b">
        <f>COUNTIF($A$2:A199,A199)&gt;1</f>
        <v>0</v>
      </c>
      <c r="P199" t="b">
        <f t="shared" si="6"/>
        <v>1</v>
      </c>
      <c r="Q199" t="b">
        <f t="shared" si="7"/>
        <v>1</v>
      </c>
    </row>
    <row r="200" spans="1:17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  <c r="O200" t="b">
        <f>COUNTIF($A$2:A200,A200)&gt;1</f>
        <v>0</v>
      </c>
      <c r="P200" t="b">
        <f t="shared" si="6"/>
        <v>1</v>
      </c>
      <c r="Q200" t="b">
        <f t="shared" si="7"/>
        <v>1</v>
      </c>
    </row>
    <row r="201" spans="1:17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  <c r="O201" t="b">
        <f>COUNTIF($A$2:A201,A201)&gt;1</f>
        <v>0</v>
      </c>
      <c r="P201" t="b">
        <f t="shared" si="6"/>
        <v>1</v>
      </c>
      <c r="Q201" t="b">
        <f t="shared" si="7"/>
        <v>1</v>
      </c>
    </row>
    <row r="202" spans="1:17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  <c r="O202" t="b">
        <f>COUNTIF($A$2:A202,A202)&gt;1</f>
        <v>0</v>
      </c>
      <c r="P202" t="b">
        <f t="shared" si="6"/>
        <v>1</v>
      </c>
      <c r="Q202" t="b">
        <f t="shared" si="7"/>
        <v>1</v>
      </c>
    </row>
    <row r="203" spans="1:17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  <c r="O203" t="b">
        <f>COUNTIF($A$2:A203,A203)&gt;1</f>
        <v>0</v>
      </c>
      <c r="P203" t="b">
        <f t="shared" si="6"/>
        <v>1</v>
      </c>
      <c r="Q203" t="b">
        <f t="shared" si="7"/>
        <v>1</v>
      </c>
    </row>
    <row r="204" spans="1:17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  <c r="O204" t="b">
        <f>COUNTIF($A$2:A204,A204)&gt;1</f>
        <v>0</v>
      </c>
      <c r="P204" t="b">
        <f t="shared" si="6"/>
        <v>1</v>
      </c>
      <c r="Q204" t="b">
        <f t="shared" si="7"/>
        <v>1</v>
      </c>
    </row>
    <row r="205" spans="1:17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  <c r="O205" t="b">
        <f>COUNTIF($A$2:A205,A205)&gt;1</f>
        <v>0</v>
      </c>
      <c r="P205" t="b">
        <f t="shared" si="6"/>
        <v>1</v>
      </c>
      <c r="Q205" t="b">
        <f t="shared" si="7"/>
        <v>1</v>
      </c>
    </row>
    <row r="206" spans="1:17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  <c r="O206" t="b">
        <f>COUNTIF($A$2:A206,A206)&gt;1</f>
        <v>0</v>
      </c>
      <c r="P206" t="b">
        <f t="shared" si="6"/>
        <v>1</v>
      </c>
      <c r="Q206" t="b">
        <f t="shared" si="7"/>
        <v>1</v>
      </c>
    </row>
    <row r="207" spans="1:17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  <c r="O207" t="b">
        <f>COUNTIF($A$2:A207,A207)&gt;1</f>
        <v>0</v>
      </c>
      <c r="P207" t="b">
        <f t="shared" si="6"/>
        <v>1</v>
      </c>
      <c r="Q207" t="b">
        <f t="shared" si="7"/>
        <v>1</v>
      </c>
    </row>
    <row r="208" spans="1:17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  <c r="O208" t="b">
        <f>COUNTIF($A$2:A208,A208)&gt;1</f>
        <v>0</v>
      </c>
      <c r="P208" t="b">
        <f t="shared" si="6"/>
        <v>1</v>
      </c>
      <c r="Q208" t="b">
        <f t="shared" si="7"/>
        <v>1</v>
      </c>
    </row>
    <row r="209" spans="1:17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  <c r="O209" t="b">
        <f>COUNTIF($A$2:A209,A209)&gt;1</f>
        <v>0</v>
      </c>
      <c r="P209" t="b">
        <f t="shared" si="6"/>
        <v>1</v>
      </c>
      <c r="Q209" t="b">
        <f t="shared" si="7"/>
        <v>1</v>
      </c>
    </row>
    <row r="210" spans="1:17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  <c r="O210" t="b">
        <f>COUNTIF($A$2:A210,A210)&gt;1</f>
        <v>0</v>
      </c>
      <c r="P210" t="b">
        <f t="shared" si="6"/>
        <v>1</v>
      </c>
      <c r="Q210" t="b">
        <f t="shared" si="7"/>
        <v>1</v>
      </c>
    </row>
    <row r="211" spans="1:17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  <c r="O211" t="b">
        <f>COUNTIF($A$2:A211,A211)&gt;1</f>
        <v>0</v>
      </c>
      <c r="P211" t="b">
        <f t="shared" si="6"/>
        <v>1</v>
      </c>
      <c r="Q211" t="b">
        <f t="shared" si="7"/>
        <v>1</v>
      </c>
    </row>
    <row r="212" spans="1:17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  <c r="O212" t="b">
        <f>COUNTIF($A$2:A212,A212)&gt;1</f>
        <v>0</v>
      </c>
      <c r="P212" t="b">
        <f t="shared" si="6"/>
        <v>1</v>
      </c>
      <c r="Q212" t="b">
        <f t="shared" si="7"/>
        <v>1</v>
      </c>
    </row>
    <row r="213" spans="1:17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  <c r="O213" t="b">
        <f>COUNTIF($A$2:A213,A213)&gt;1</f>
        <v>0</v>
      </c>
      <c r="P213" t="b">
        <f t="shared" si="6"/>
        <v>1</v>
      </c>
      <c r="Q213" t="b">
        <f t="shared" si="7"/>
        <v>1</v>
      </c>
    </row>
    <row r="214" spans="1:17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  <c r="O214" t="b">
        <f>COUNTIF($A$2:A214,A214)&gt;1</f>
        <v>0</v>
      </c>
      <c r="P214" t="b">
        <f t="shared" si="6"/>
        <v>1</v>
      </c>
      <c r="Q214" t="b">
        <f t="shared" si="7"/>
        <v>1</v>
      </c>
    </row>
    <row r="215" spans="1:17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  <c r="O215" t="b">
        <f>COUNTIF($A$2:A215,A215)&gt;1</f>
        <v>0</v>
      </c>
      <c r="P215" t="b">
        <f t="shared" si="6"/>
        <v>1</v>
      </c>
      <c r="Q215" t="b">
        <f t="shared" si="7"/>
        <v>1</v>
      </c>
    </row>
    <row r="216" spans="1:17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  <c r="O216" t="b">
        <f>COUNTIF($A$2:A216,A216)&gt;1</f>
        <v>0</v>
      </c>
      <c r="P216" t="b">
        <f t="shared" si="6"/>
        <v>1</v>
      </c>
      <c r="Q216" t="b">
        <f t="shared" si="7"/>
        <v>1</v>
      </c>
    </row>
    <row r="217" spans="1:17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  <c r="O217" t="b">
        <f>COUNTIF($A$2:A217,A217)&gt;1</f>
        <v>0</v>
      </c>
      <c r="P217" t="b">
        <f t="shared" si="6"/>
        <v>1</v>
      </c>
      <c r="Q217" t="b">
        <f t="shared" si="7"/>
        <v>1</v>
      </c>
    </row>
    <row r="218" spans="1:17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  <c r="O218" t="b">
        <f>COUNTIF($A$2:A218,A218)&gt;1</f>
        <v>0</v>
      </c>
      <c r="P218" t="b">
        <f t="shared" si="6"/>
        <v>1</v>
      </c>
      <c r="Q218" t="b">
        <f t="shared" si="7"/>
        <v>1</v>
      </c>
    </row>
    <row r="219" spans="1:17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  <c r="O219" t="b">
        <f>COUNTIF($A$2:A219,A219)&gt;1</f>
        <v>0</v>
      </c>
      <c r="P219" t="b">
        <f t="shared" si="6"/>
        <v>1</v>
      </c>
      <c r="Q219" t="b">
        <f t="shared" si="7"/>
        <v>1</v>
      </c>
    </row>
    <row r="220" spans="1:17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  <c r="O220" t="b">
        <f>COUNTIF($A$2:A220,A220)&gt;1</f>
        <v>0</v>
      </c>
      <c r="P220" t="b">
        <f t="shared" si="6"/>
        <v>1</v>
      </c>
      <c r="Q220" t="b">
        <f t="shared" si="7"/>
        <v>1</v>
      </c>
    </row>
    <row r="221" spans="1:17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  <c r="O221" t="b">
        <f>COUNTIF($A$2:A221,A221)&gt;1</f>
        <v>0</v>
      </c>
      <c r="P221" t="b">
        <f t="shared" si="6"/>
        <v>1</v>
      </c>
      <c r="Q221" t="b">
        <f t="shared" si="7"/>
        <v>1</v>
      </c>
    </row>
    <row r="222" spans="1:17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  <c r="O222" t="b">
        <f>COUNTIF($A$2:A222,A222)&gt;1</f>
        <v>0</v>
      </c>
      <c r="P222" t="b">
        <f t="shared" si="6"/>
        <v>1</v>
      </c>
      <c r="Q222" t="b">
        <f t="shared" si="7"/>
        <v>1</v>
      </c>
    </row>
    <row r="223" spans="1:17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  <c r="O223" t="b">
        <f>COUNTIF($A$2:A223,A223)&gt;1</f>
        <v>0</v>
      </c>
      <c r="P223" t="b">
        <f t="shared" si="6"/>
        <v>1</v>
      </c>
      <c r="Q223" t="b">
        <f t="shared" si="7"/>
        <v>1</v>
      </c>
    </row>
    <row r="224" spans="1:17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  <c r="O224" t="b">
        <f>COUNTIF($A$2:A224,A224)&gt;1</f>
        <v>0</v>
      </c>
      <c r="P224" t="b">
        <f t="shared" si="6"/>
        <v>1</v>
      </c>
      <c r="Q224" t="b">
        <f t="shared" si="7"/>
        <v>1</v>
      </c>
    </row>
    <row r="225" spans="1:17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  <c r="O225" t="b">
        <f>COUNTIF($A$2:A225,A225)&gt;1</f>
        <v>0</v>
      </c>
      <c r="P225" t="b">
        <f t="shared" si="6"/>
        <v>1</v>
      </c>
      <c r="Q225" t="b">
        <f t="shared" si="7"/>
        <v>1</v>
      </c>
    </row>
    <row r="226" spans="1:17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  <c r="O226" t="b">
        <f>COUNTIF($A$2:A226,A226)&gt;1</f>
        <v>0</v>
      </c>
      <c r="P226" t="b">
        <f t="shared" si="6"/>
        <v>1</v>
      </c>
      <c r="Q226" t="b">
        <f t="shared" si="7"/>
        <v>1</v>
      </c>
    </row>
    <row r="227" spans="1:17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  <c r="O227" t="b">
        <f>COUNTIF($A$2:A227,A227)&gt;1</f>
        <v>0</v>
      </c>
      <c r="P227" t="b">
        <f t="shared" si="6"/>
        <v>1</v>
      </c>
      <c r="Q227" t="b">
        <f t="shared" si="7"/>
        <v>1</v>
      </c>
    </row>
    <row r="228" spans="1:17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  <c r="O228" t="b">
        <f>COUNTIF($A$2:A228,A228)&gt;1</f>
        <v>0</v>
      </c>
      <c r="P228" t="b">
        <f t="shared" si="6"/>
        <v>1</v>
      </c>
      <c r="Q228" t="b">
        <f t="shared" si="7"/>
        <v>1</v>
      </c>
    </row>
    <row r="229" spans="1:17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  <c r="O229" t="b">
        <f>COUNTIF($A$2:A229,A229)&gt;1</f>
        <v>0</v>
      </c>
      <c r="P229" t="b">
        <f t="shared" si="6"/>
        <v>1</v>
      </c>
      <c r="Q229" t="b">
        <f t="shared" si="7"/>
        <v>1</v>
      </c>
    </row>
    <row r="230" spans="1:17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  <c r="O230" t="b">
        <f>COUNTIF($A$2:A230,A230)&gt;1</f>
        <v>0</v>
      </c>
      <c r="P230" t="b">
        <f t="shared" si="6"/>
        <v>1</v>
      </c>
      <c r="Q230" t="b">
        <f t="shared" si="7"/>
        <v>1</v>
      </c>
    </row>
    <row r="231" spans="1:17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  <c r="O231" t="b">
        <f>COUNTIF($A$2:A231,A231)&gt;1</f>
        <v>0</v>
      </c>
      <c r="P231" t="b">
        <f t="shared" si="6"/>
        <v>1</v>
      </c>
      <c r="Q231" t="b">
        <f t="shared" si="7"/>
        <v>1</v>
      </c>
    </row>
    <row r="232" spans="1:17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  <c r="O232" t="b">
        <f>COUNTIF($A$2:A232,A232)&gt;1</f>
        <v>0</v>
      </c>
      <c r="P232" t="b">
        <f t="shared" si="6"/>
        <v>1</v>
      </c>
      <c r="Q232" t="b">
        <f t="shared" si="7"/>
        <v>1</v>
      </c>
    </row>
    <row r="233" spans="1:17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  <c r="O233" t="b">
        <f>COUNTIF($A$2:A233,A233)&gt;1</f>
        <v>0</v>
      </c>
      <c r="P233" t="b">
        <f t="shared" si="6"/>
        <v>1</v>
      </c>
      <c r="Q233" t="b">
        <f t="shared" si="7"/>
        <v>1</v>
      </c>
    </row>
    <row r="234" spans="1:17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  <c r="O234" t="b">
        <f>COUNTIF($A$2:A234,A234)&gt;1</f>
        <v>0</v>
      </c>
      <c r="P234" t="b">
        <f t="shared" si="6"/>
        <v>1</v>
      </c>
      <c r="Q234" t="b">
        <f t="shared" si="7"/>
        <v>1</v>
      </c>
    </row>
    <row r="235" spans="1:17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  <c r="O235" t="b">
        <f>COUNTIF($A$2:A235,A235)&gt;1</f>
        <v>0</v>
      </c>
      <c r="P235" t="b">
        <f t="shared" si="6"/>
        <v>1</v>
      </c>
      <c r="Q235" t="b">
        <f t="shared" si="7"/>
        <v>1</v>
      </c>
    </row>
    <row r="236" spans="1:17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  <c r="O236" t="b">
        <f>COUNTIF($A$2:A236,A236)&gt;1</f>
        <v>0</v>
      </c>
      <c r="P236" t="b">
        <f t="shared" si="6"/>
        <v>1</v>
      </c>
      <c r="Q236" t="b">
        <f t="shared" si="7"/>
        <v>1</v>
      </c>
    </row>
    <row r="237" spans="1:17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  <c r="O237" t="b">
        <f>COUNTIF($A$2:A237,A237)&gt;1</f>
        <v>0</v>
      </c>
      <c r="P237" t="b">
        <f t="shared" si="6"/>
        <v>1</v>
      </c>
      <c r="Q237" t="b">
        <f t="shared" si="7"/>
        <v>1</v>
      </c>
    </row>
    <row r="238" spans="1:17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  <c r="O238" t="b">
        <f>COUNTIF($A$2:A238,A238)&gt;1</f>
        <v>0</v>
      </c>
      <c r="P238" t="b">
        <f t="shared" si="6"/>
        <v>1</v>
      </c>
      <c r="Q238" t="b">
        <f t="shared" si="7"/>
        <v>1</v>
      </c>
    </row>
    <row r="239" spans="1:17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  <c r="O239" t="b">
        <f>COUNTIF($A$2:A239,A239)&gt;1</f>
        <v>0</v>
      </c>
      <c r="P239" t="b">
        <f t="shared" si="6"/>
        <v>1</v>
      </c>
      <c r="Q239" t="b">
        <f t="shared" si="7"/>
        <v>1</v>
      </c>
    </row>
    <row r="240" spans="1:17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  <c r="O240" t="b">
        <f>COUNTIF($A$2:A240,A240)&gt;1</f>
        <v>0</v>
      </c>
      <c r="P240" t="b">
        <f t="shared" si="6"/>
        <v>1</v>
      </c>
      <c r="Q240" t="b">
        <f t="shared" si="7"/>
        <v>1</v>
      </c>
    </row>
    <row r="241" spans="1:17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  <c r="O241" t="b">
        <f>COUNTIF($A$2:A241,A241)&gt;1</f>
        <v>0</v>
      </c>
      <c r="P241" t="b">
        <f t="shared" si="6"/>
        <v>1</v>
      </c>
      <c r="Q241" t="b">
        <f t="shared" si="7"/>
        <v>1</v>
      </c>
    </row>
    <row r="242" spans="1:17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  <c r="O242" t="b">
        <f>COUNTIF($A$2:A242,A242)&gt;1</f>
        <v>0</v>
      </c>
      <c r="P242" t="b">
        <f t="shared" si="6"/>
        <v>1</v>
      </c>
      <c r="Q242" t="b">
        <f t="shared" si="7"/>
        <v>1</v>
      </c>
    </row>
    <row r="243" spans="1:17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  <c r="O243" t="b">
        <f>COUNTIF($A$2:A243,A243)&gt;1</f>
        <v>0</v>
      </c>
      <c r="P243" t="b">
        <f t="shared" si="6"/>
        <v>1</v>
      </c>
      <c r="Q243" t="b">
        <f t="shared" si="7"/>
        <v>1</v>
      </c>
    </row>
    <row r="244" spans="1:17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  <c r="O244" t="b">
        <f>COUNTIF($A$2:A244,A244)&gt;1</f>
        <v>0</v>
      </c>
      <c r="P244" t="b">
        <f t="shared" si="6"/>
        <v>1</v>
      </c>
      <c r="Q244" t="b">
        <f t="shared" si="7"/>
        <v>1</v>
      </c>
    </row>
    <row r="245" spans="1:17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  <c r="O245" t="b">
        <f>COUNTIF($A$2:A245,A245)&gt;1</f>
        <v>0</v>
      </c>
      <c r="P245" t="b">
        <f t="shared" si="6"/>
        <v>1</v>
      </c>
      <c r="Q245" t="b">
        <f t="shared" si="7"/>
        <v>1</v>
      </c>
    </row>
    <row r="246" spans="1:17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  <c r="O246" t="b">
        <f>COUNTIF($A$2:A246,A246)&gt;1</f>
        <v>0</v>
      </c>
      <c r="P246" t="b">
        <f t="shared" si="6"/>
        <v>1</v>
      </c>
      <c r="Q246" t="b">
        <f t="shared" si="7"/>
        <v>1</v>
      </c>
    </row>
    <row r="247" spans="1:17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  <c r="O247" t="b">
        <f>COUNTIF($A$2:A247,A247)&gt;1</f>
        <v>0</v>
      </c>
      <c r="P247" t="b">
        <f t="shared" si="6"/>
        <v>1</v>
      </c>
      <c r="Q247" t="b">
        <f t="shared" si="7"/>
        <v>1</v>
      </c>
    </row>
    <row r="248" spans="1:17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  <c r="O248" t="b">
        <f>COUNTIF($A$2:A248,A248)&gt;1</f>
        <v>0</v>
      </c>
      <c r="P248" t="b">
        <f t="shared" si="6"/>
        <v>1</v>
      </c>
      <c r="Q248" t="b">
        <f t="shared" si="7"/>
        <v>1</v>
      </c>
    </row>
    <row r="249" spans="1:17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  <c r="O249" t="b">
        <f>COUNTIF($A$2:A249,A249)&gt;1</f>
        <v>0</v>
      </c>
      <c r="P249" t="b">
        <f t="shared" si="6"/>
        <v>1</v>
      </c>
      <c r="Q249" t="b">
        <f t="shared" si="7"/>
        <v>1</v>
      </c>
    </row>
    <row r="250" spans="1:17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  <c r="O250" t="b">
        <f>COUNTIF($A$2:A250,A250)&gt;1</f>
        <v>0</v>
      </c>
      <c r="P250" t="b">
        <f t="shared" si="6"/>
        <v>1</v>
      </c>
      <c r="Q250" t="b">
        <f t="shared" si="7"/>
        <v>1</v>
      </c>
    </row>
    <row r="251" spans="1:17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  <c r="O251" t="b">
        <f>COUNTIF($A$2:A251,A251)&gt;1</f>
        <v>0</v>
      </c>
      <c r="P251" t="b">
        <f t="shared" si="6"/>
        <v>1</v>
      </c>
      <c r="Q251" t="b">
        <f t="shared" si="7"/>
        <v>1</v>
      </c>
    </row>
    <row r="252" spans="1:17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  <c r="O252" t="b">
        <f>COUNTIF($A$2:A252,A252)&gt;1</f>
        <v>0</v>
      </c>
      <c r="P252" t="b">
        <f t="shared" si="6"/>
        <v>1</v>
      </c>
      <c r="Q252" t="b">
        <f t="shared" si="7"/>
        <v>1</v>
      </c>
    </row>
    <row r="253" spans="1:17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  <c r="O253" t="b">
        <f>COUNTIF($A$2:A253,A253)&gt;1</f>
        <v>0</v>
      </c>
      <c r="P253" t="b">
        <f t="shared" si="6"/>
        <v>1</v>
      </c>
      <c r="Q253" t="b">
        <f t="shared" si="7"/>
        <v>1</v>
      </c>
    </row>
    <row r="254" spans="1:17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  <c r="O254" t="b">
        <f>COUNTIF($A$2:A254,A254)&gt;1</f>
        <v>0</v>
      </c>
      <c r="P254" t="b">
        <f t="shared" si="6"/>
        <v>1</v>
      </c>
      <c r="Q254" t="b">
        <f t="shared" si="7"/>
        <v>1</v>
      </c>
    </row>
    <row r="255" spans="1:17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  <c r="O255" t="b">
        <f>COUNTIF($A$2:A255,A255)&gt;1</f>
        <v>0</v>
      </c>
      <c r="P255" t="b">
        <f t="shared" si="6"/>
        <v>1</v>
      </c>
      <c r="Q255" t="b">
        <f t="shared" si="7"/>
        <v>1</v>
      </c>
    </row>
    <row r="256" spans="1:17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789.56999999999994</v>
      </c>
      <c r="O256" t="b">
        <f>COUNTIF($A$2:A256,A256)&gt;1</f>
        <v>0</v>
      </c>
      <c r="P256" t="b">
        <f t="shared" si="6"/>
        <v>1</v>
      </c>
      <c r="Q256" t="b">
        <f t="shared" si="7"/>
        <v>1</v>
      </c>
    </row>
    <row r="257" spans="1:17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  <c r="O257" t="b">
        <f>COUNTIF($A$2:A257,A257)&gt;1</f>
        <v>0</v>
      </c>
      <c r="P257" t="b">
        <f t="shared" si="6"/>
        <v>1</v>
      </c>
      <c r="Q257" t="b">
        <f t="shared" si="7"/>
        <v>1</v>
      </c>
    </row>
    <row r="258" spans="1:17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  <c r="O258" t="b">
        <f>COUNTIF($A$2:A258,A258)&gt;1</f>
        <v>0</v>
      </c>
      <c r="P258" t="b">
        <f t="shared" ref="P258:P321" si="8">TRIM(H258)=H258</f>
        <v>1</v>
      </c>
      <c r="Q258" t="b">
        <f t="shared" ref="Q258:Q321" si="9">ROUND(E258*F258,2)=ROUND(N258,2)</f>
        <v>1</v>
      </c>
    </row>
    <row r="259" spans="1:17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  <c r="O259" t="b">
        <f>COUNTIF($A$2:A259,A259)&gt;1</f>
        <v>0</v>
      </c>
      <c r="P259" t="b">
        <f t="shared" si="8"/>
        <v>1</v>
      </c>
      <c r="Q259" t="b">
        <f t="shared" si="9"/>
        <v>1</v>
      </c>
    </row>
    <row r="260" spans="1:17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  <c r="O260" t="b">
        <f>COUNTIF($A$2:A260,A260)&gt;1</f>
        <v>0</v>
      </c>
      <c r="P260" t="b">
        <f t="shared" si="8"/>
        <v>1</v>
      </c>
      <c r="Q260" t="b">
        <f t="shared" si="9"/>
        <v>1</v>
      </c>
    </row>
    <row r="261" spans="1:17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  <c r="O261" t="b">
        <f>COUNTIF($A$2:A261,A261)&gt;1</f>
        <v>0</v>
      </c>
      <c r="P261" t="b">
        <f t="shared" si="8"/>
        <v>1</v>
      </c>
      <c r="Q261" t="b">
        <f t="shared" si="9"/>
        <v>1</v>
      </c>
    </row>
    <row r="262" spans="1:17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  <c r="O262" t="b">
        <f>COUNTIF($A$2:A262,A262)&gt;1</f>
        <v>0</v>
      </c>
      <c r="P262" t="b">
        <f t="shared" si="8"/>
        <v>1</v>
      </c>
      <c r="Q262" t="b">
        <f t="shared" si="9"/>
        <v>1</v>
      </c>
    </row>
    <row r="263" spans="1:17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  <c r="O263" t="b">
        <f>COUNTIF($A$2:A263,A263)&gt;1</f>
        <v>0</v>
      </c>
      <c r="P263" t="b">
        <f t="shared" si="8"/>
        <v>1</v>
      </c>
      <c r="Q263" t="b">
        <f t="shared" si="9"/>
        <v>1</v>
      </c>
    </row>
    <row r="264" spans="1:17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  <c r="O264" t="b">
        <f>COUNTIF($A$2:A264,A264)&gt;1</f>
        <v>0</v>
      </c>
      <c r="P264" t="b">
        <f t="shared" si="8"/>
        <v>1</v>
      </c>
      <c r="Q264" t="b">
        <f t="shared" si="9"/>
        <v>1</v>
      </c>
    </row>
    <row r="265" spans="1:17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  <c r="O265" t="b">
        <f>COUNTIF($A$2:A265,A265)&gt;1</f>
        <v>0</v>
      </c>
      <c r="P265" t="b">
        <f t="shared" si="8"/>
        <v>1</v>
      </c>
      <c r="Q265" t="b">
        <f t="shared" si="9"/>
        <v>1</v>
      </c>
    </row>
    <row r="266" spans="1:17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  <c r="O266" t="b">
        <f>COUNTIF($A$2:A266,A266)&gt;1</f>
        <v>0</v>
      </c>
      <c r="P266" t="b">
        <f t="shared" si="8"/>
        <v>1</v>
      </c>
      <c r="Q266" t="b">
        <f t="shared" si="9"/>
        <v>1</v>
      </c>
    </row>
    <row r="267" spans="1:17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  <c r="O267" t="b">
        <f>COUNTIF($A$2:A267,A267)&gt;1</f>
        <v>0</v>
      </c>
      <c r="P267" t="b">
        <f t="shared" si="8"/>
        <v>1</v>
      </c>
      <c r="Q267" t="b">
        <f t="shared" si="9"/>
        <v>1</v>
      </c>
    </row>
    <row r="268" spans="1:17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  <c r="O268" t="b">
        <f>COUNTIF($A$2:A268,A268)&gt;1</f>
        <v>0</v>
      </c>
      <c r="P268" t="b">
        <f t="shared" si="8"/>
        <v>1</v>
      </c>
      <c r="Q268" t="b">
        <f t="shared" si="9"/>
        <v>1</v>
      </c>
    </row>
    <row r="269" spans="1:17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  <c r="O269" t="b">
        <f>COUNTIF($A$2:A269,A269)&gt;1</f>
        <v>0</v>
      </c>
      <c r="P269" t="b">
        <f t="shared" si="8"/>
        <v>1</v>
      </c>
      <c r="Q269" t="b">
        <f t="shared" si="9"/>
        <v>1</v>
      </c>
    </row>
    <row r="270" spans="1:17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  <c r="O270" t="b">
        <f>COUNTIF($A$2:A270,A270)&gt;1</f>
        <v>0</v>
      </c>
      <c r="P270" t="b">
        <f t="shared" si="8"/>
        <v>1</v>
      </c>
      <c r="Q270" t="b">
        <f t="shared" si="9"/>
        <v>1</v>
      </c>
    </row>
    <row r="271" spans="1:17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  <c r="O271" t="b">
        <f>COUNTIF($A$2:A271,A271)&gt;1</f>
        <v>0</v>
      </c>
      <c r="P271" t="b">
        <f t="shared" si="8"/>
        <v>1</v>
      </c>
      <c r="Q271" t="b">
        <f t="shared" si="9"/>
        <v>1</v>
      </c>
    </row>
    <row r="272" spans="1:17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  <c r="O272" t="b">
        <f>COUNTIF($A$2:A272,A272)&gt;1</f>
        <v>0</v>
      </c>
      <c r="P272" t="b">
        <f t="shared" si="8"/>
        <v>1</v>
      </c>
      <c r="Q272" t="b">
        <f t="shared" si="9"/>
        <v>1</v>
      </c>
    </row>
    <row r="273" spans="1:17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  <c r="O273" t="b">
        <f>COUNTIF($A$2:A273,A273)&gt;1</f>
        <v>0</v>
      </c>
      <c r="P273" t="b">
        <f t="shared" si="8"/>
        <v>1</v>
      </c>
      <c r="Q273" t="b">
        <f t="shared" si="9"/>
        <v>1</v>
      </c>
    </row>
    <row r="274" spans="1:17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  <c r="O274" t="b">
        <f>COUNTIF($A$2:A274,A274)&gt;1</f>
        <v>0</v>
      </c>
      <c r="P274" t="b">
        <f t="shared" si="8"/>
        <v>1</v>
      </c>
      <c r="Q274" t="b">
        <f t="shared" si="9"/>
        <v>1</v>
      </c>
    </row>
    <row r="275" spans="1:17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  <c r="O275" t="b">
        <f>COUNTIF($A$2:A275,A275)&gt;1</f>
        <v>0</v>
      </c>
      <c r="P275" t="b">
        <f t="shared" si="8"/>
        <v>1</v>
      </c>
      <c r="Q275" t="b">
        <f t="shared" si="9"/>
        <v>1</v>
      </c>
    </row>
    <row r="276" spans="1:17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  <c r="O276" t="b">
        <f>COUNTIF($A$2:A276,A276)&gt;1</f>
        <v>0</v>
      </c>
      <c r="P276" t="b">
        <f t="shared" si="8"/>
        <v>1</v>
      </c>
      <c r="Q276" t="b">
        <f t="shared" si="9"/>
        <v>1</v>
      </c>
    </row>
    <row r="277" spans="1:17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  <c r="O277" t="b">
        <f>COUNTIF($A$2:A277,A277)&gt;1</f>
        <v>0</v>
      </c>
      <c r="P277" t="b">
        <f t="shared" si="8"/>
        <v>1</v>
      </c>
      <c r="Q277" t="b">
        <f t="shared" si="9"/>
        <v>1</v>
      </c>
    </row>
    <row r="278" spans="1:17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  <c r="O278" t="b">
        <f>COUNTIF($A$2:A278,A278)&gt;1</f>
        <v>0</v>
      </c>
      <c r="P278" t="b">
        <f t="shared" si="8"/>
        <v>1</v>
      </c>
      <c r="Q278" t="b">
        <f t="shared" si="9"/>
        <v>1</v>
      </c>
    </row>
    <row r="279" spans="1:17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  <c r="O279" t="b">
        <f>COUNTIF($A$2:A279,A279)&gt;1</f>
        <v>0</v>
      </c>
      <c r="P279" t="b">
        <f t="shared" si="8"/>
        <v>1</v>
      </c>
      <c r="Q279" t="b">
        <f t="shared" si="9"/>
        <v>1</v>
      </c>
    </row>
    <row r="280" spans="1:17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  <c r="O280" t="b">
        <f>COUNTIF($A$2:A280,A280)&gt;1</f>
        <v>0</v>
      </c>
      <c r="P280" t="b">
        <f t="shared" si="8"/>
        <v>1</v>
      </c>
      <c r="Q280" t="b">
        <f t="shared" si="9"/>
        <v>1</v>
      </c>
    </row>
    <row r="281" spans="1:17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  <c r="O281" t="b">
        <f>COUNTIF($A$2:A281,A281)&gt;1</f>
        <v>0</v>
      </c>
      <c r="P281" t="b">
        <f t="shared" si="8"/>
        <v>1</v>
      </c>
      <c r="Q281" t="b">
        <f t="shared" si="9"/>
        <v>1</v>
      </c>
    </row>
    <row r="282" spans="1:17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  <c r="O282" t="b">
        <f>COUNTIF($A$2:A282,A282)&gt;1</f>
        <v>0</v>
      </c>
      <c r="P282" t="b">
        <f t="shared" si="8"/>
        <v>1</v>
      </c>
      <c r="Q282" t="b">
        <f t="shared" si="9"/>
        <v>1</v>
      </c>
    </row>
    <row r="283" spans="1:17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  <c r="O283" t="b">
        <f>COUNTIF($A$2:A283,A283)&gt;1</f>
        <v>0</v>
      </c>
      <c r="P283" t="b">
        <f t="shared" si="8"/>
        <v>1</v>
      </c>
      <c r="Q283" t="b">
        <f t="shared" si="9"/>
        <v>1</v>
      </c>
    </row>
    <row r="284" spans="1:17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  <c r="O284" t="b">
        <f>COUNTIF($A$2:A284,A284)&gt;1</f>
        <v>0</v>
      </c>
      <c r="P284" t="b">
        <f t="shared" si="8"/>
        <v>1</v>
      </c>
      <c r="Q284" t="b">
        <f t="shared" si="9"/>
        <v>1</v>
      </c>
    </row>
    <row r="285" spans="1:17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  <c r="O285" t="b">
        <f>COUNTIF($A$2:A285,A285)&gt;1</f>
        <v>0</v>
      </c>
      <c r="P285" t="b">
        <f t="shared" si="8"/>
        <v>1</v>
      </c>
      <c r="Q285" t="b">
        <f t="shared" si="9"/>
        <v>1</v>
      </c>
    </row>
    <row r="286" spans="1:17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  <c r="O286" t="b">
        <f>COUNTIF($A$2:A286,A286)&gt;1</f>
        <v>0</v>
      </c>
      <c r="P286" t="b">
        <f t="shared" si="8"/>
        <v>1</v>
      </c>
      <c r="Q286" t="b">
        <f t="shared" si="9"/>
        <v>1</v>
      </c>
    </row>
    <row r="287" spans="1:17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  <c r="O287" t="b">
        <f>COUNTIF($A$2:A287,A287)&gt;1</f>
        <v>0</v>
      </c>
      <c r="P287" t="b">
        <f t="shared" si="8"/>
        <v>1</v>
      </c>
      <c r="Q287" t="b">
        <f t="shared" si="9"/>
        <v>1</v>
      </c>
    </row>
    <row r="288" spans="1:17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  <c r="O288" t="b">
        <f>COUNTIF($A$2:A288,A288)&gt;1</f>
        <v>0</v>
      </c>
      <c r="P288" t="b">
        <f t="shared" si="8"/>
        <v>1</v>
      </c>
      <c r="Q288" t="b">
        <f t="shared" si="9"/>
        <v>1</v>
      </c>
    </row>
    <row r="289" spans="1:17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  <c r="O289" t="b">
        <f>COUNTIF($A$2:A289,A289)&gt;1</f>
        <v>0</v>
      </c>
      <c r="P289" t="b">
        <f t="shared" si="8"/>
        <v>1</v>
      </c>
      <c r="Q289" t="b">
        <f t="shared" si="9"/>
        <v>1</v>
      </c>
    </row>
    <row r="290" spans="1:17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  <c r="O290" t="b">
        <f>COUNTIF($A$2:A290,A290)&gt;1</f>
        <v>0</v>
      </c>
      <c r="P290" t="b">
        <f t="shared" si="8"/>
        <v>1</v>
      </c>
      <c r="Q290" t="b">
        <f t="shared" si="9"/>
        <v>1</v>
      </c>
    </row>
    <row r="291" spans="1:17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  <c r="O291" t="b">
        <f>COUNTIF($A$2:A291,A291)&gt;1</f>
        <v>0</v>
      </c>
      <c r="P291" t="b">
        <f t="shared" si="8"/>
        <v>1</v>
      </c>
      <c r="Q291" t="b">
        <f t="shared" si="9"/>
        <v>1</v>
      </c>
    </row>
    <row r="292" spans="1:17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  <c r="O292" t="b">
        <f>COUNTIF($A$2:A292,A292)&gt;1</f>
        <v>0</v>
      </c>
      <c r="P292" t="b">
        <f t="shared" si="8"/>
        <v>1</v>
      </c>
      <c r="Q292" t="b">
        <f t="shared" si="9"/>
        <v>1</v>
      </c>
    </row>
    <row r="293" spans="1:17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  <c r="O293" t="b">
        <f>COUNTIF($A$2:A293,A293)&gt;1</f>
        <v>0</v>
      </c>
      <c r="P293" t="b">
        <f t="shared" si="8"/>
        <v>1</v>
      </c>
      <c r="Q293" t="b">
        <f t="shared" si="9"/>
        <v>1</v>
      </c>
    </row>
    <row r="294" spans="1:17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  <c r="O294" t="b">
        <f>COUNTIF($A$2:A294,A294)&gt;1</f>
        <v>0</v>
      </c>
      <c r="P294" t="b">
        <f t="shared" si="8"/>
        <v>1</v>
      </c>
      <c r="Q294" t="b">
        <f t="shared" si="9"/>
        <v>1</v>
      </c>
    </row>
    <row r="295" spans="1:17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  <c r="O295" t="b">
        <f>COUNTIF($A$2:A295,A295)&gt;1</f>
        <v>0</v>
      </c>
      <c r="P295" t="b">
        <f t="shared" si="8"/>
        <v>1</v>
      </c>
      <c r="Q295" t="b">
        <f t="shared" si="9"/>
        <v>1</v>
      </c>
    </row>
    <row r="296" spans="1:17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  <c r="O296" t="b">
        <f>COUNTIF($A$2:A296,A296)&gt;1</f>
        <v>0</v>
      </c>
      <c r="P296" t="b">
        <f t="shared" si="8"/>
        <v>1</v>
      </c>
      <c r="Q296" t="b">
        <f t="shared" si="9"/>
        <v>1</v>
      </c>
    </row>
    <row r="297" spans="1:17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  <c r="O297" t="b">
        <f>COUNTIF($A$2:A297,A297)&gt;1</f>
        <v>0</v>
      </c>
      <c r="P297" t="b">
        <f t="shared" si="8"/>
        <v>1</v>
      </c>
      <c r="Q297" t="b">
        <f t="shared" si="9"/>
        <v>1</v>
      </c>
    </row>
    <row r="298" spans="1:17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  <c r="O298" t="b">
        <f>COUNTIF($A$2:A298,A298)&gt;1</f>
        <v>0</v>
      </c>
      <c r="P298" t="b">
        <f t="shared" si="8"/>
        <v>1</v>
      </c>
      <c r="Q298" t="b">
        <f t="shared" si="9"/>
        <v>1</v>
      </c>
    </row>
    <row r="299" spans="1:17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  <c r="O299" t="b">
        <f>COUNTIF($A$2:A299,A299)&gt;1</f>
        <v>0</v>
      </c>
      <c r="P299" t="b">
        <f t="shared" si="8"/>
        <v>1</v>
      </c>
      <c r="Q299" t="b">
        <f t="shared" si="9"/>
        <v>1</v>
      </c>
    </row>
    <row r="300" spans="1:17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  <c r="O300" t="b">
        <f>COUNTIF($A$2:A300,A300)&gt;1</f>
        <v>0</v>
      </c>
      <c r="P300" t="b">
        <f t="shared" si="8"/>
        <v>1</v>
      </c>
      <c r="Q300" t="b">
        <f t="shared" si="9"/>
        <v>1</v>
      </c>
    </row>
    <row r="301" spans="1:17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  <c r="O301" t="b">
        <f>COUNTIF($A$2:A301,A301)&gt;1</f>
        <v>0</v>
      </c>
      <c r="P301" t="b">
        <f t="shared" si="8"/>
        <v>1</v>
      </c>
      <c r="Q301" t="b">
        <f t="shared" si="9"/>
        <v>1</v>
      </c>
    </row>
    <row r="302" spans="1:17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  <c r="O302" t="b">
        <f>COUNTIF($A$2:A302,A302)&gt;1</f>
        <v>0</v>
      </c>
      <c r="P302" t="b">
        <f t="shared" si="8"/>
        <v>1</v>
      </c>
      <c r="Q302" t="b">
        <f t="shared" si="9"/>
        <v>1</v>
      </c>
    </row>
    <row r="303" spans="1:17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  <c r="O303" t="b">
        <f>COUNTIF($A$2:A303,A303)&gt;1</f>
        <v>0</v>
      </c>
      <c r="P303" t="b">
        <f t="shared" si="8"/>
        <v>1</v>
      </c>
      <c r="Q303" t="b">
        <f t="shared" si="9"/>
        <v>1</v>
      </c>
    </row>
    <row r="304" spans="1:17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  <c r="O304" t="b">
        <f>COUNTIF($A$2:A304,A304)&gt;1</f>
        <v>0</v>
      </c>
      <c r="P304" t="b">
        <f t="shared" si="8"/>
        <v>1</v>
      </c>
      <c r="Q304" t="b">
        <f t="shared" si="9"/>
        <v>1</v>
      </c>
    </row>
    <row r="305" spans="1:17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  <c r="O305" t="b">
        <f>COUNTIF($A$2:A305,A305)&gt;1</f>
        <v>0</v>
      </c>
      <c r="P305" t="b">
        <f t="shared" si="8"/>
        <v>1</v>
      </c>
      <c r="Q305" t="b">
        <f t="shared" si="9"/>
        <v>1</v>
      </c>
    </row>
    <row r="306" spans="1:17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  <c r="O306" t="b">
        <f>COUNTIF($A$2:A306,A306)&gt;1</f>
        <v>0</v>
      </c>
      <c r="P306" t="b">
        <f t="shared" si="8"/>
        <v>1</v>
      </c>
      <c r="Q306" t="b">
        <f t="shared" si="9"/>
        <v>1</v>
      </c>
    </row>
    <row r="307" spans="1:17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  <c r="O307" t="b">
        <f>COUNTIF($A$2:A307,A307)&gt;1</f>
        <v>0</v>
      </c>
      <c r="P307" t="b">
        <f t="shared" si="8"/>
        <v>1</v>
      </c>
      <c r="Q307" t="b">
        <f t="shared" si="9"/>
        <v>1</v>
      </c>
    </row>
    <row r="308" spans="1:17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  <c r="O308" t="b">
        <f>COUNTIF($A$2:A308,A308)&gt;1</f>
        <v>0</v>
      </c>
      <c r="P308" t="b">
        <f t="shared" si="8"/>
        <v>1</v>
      </c>
      <c r="Q308" t="b">
        <f t="shared" si="9"/>
        <v>1</v>
      </c>
    </row>
    <row r="309" spans="1:17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  <c r="O309" t="b">
        <f>COUNTIF($A$2:A309,A309)&gt;1</f>
        <v>0</v>
      </c>
      <c r="P309" t="b">
        <f t="shared" si="8"/>
        <v>1</v>
      </c>
      <c r="Q309" t="b">
        <f t="shared" si="9"/>
        <v>1</v>
      </c>
    </row>
    <row r="310" spans="1:17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  <c r="O310" t="b">
        <f>COUNTIF($A$2:A310,A310)&gt;1</f>
        <v>0</v>
      </c>
      <c r="P310" t="b">
        <f t="shared" si="8"/>
        <v>1</v>
      </c>
      <c r="Q310" t="b">
        <f t="shared" si="9"/>
        <v>1</v>
      </c>
    </row>
    <row r="311" spans="1:17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  <c r="O311" t="b">
        <f>COUNTIF($A$2:A311,A311)&gt;1</f>
        <v>0</v>
      </c>
      <c r="P311" t="b">
        <f t="shared" si="8"/>
        <v>1</v>
      </c>
      <c r="Q311" t="b">
        <f t="shared" si="9"/>
        <v>1</v>
      </c>
    </row>
    <row r="312" spans="1:17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397.43999999999988</v>
      </c>
      <c r="O312" t="b">
        <f>COUNTIF($A$2:A312,A312)&gt;1</f>
        <v>0</v>
      </c>
      <c r="P312" t="b">
        <f t="shared" si="8"/>
        <v>1</v>
      </c>
      <c r="Q312" t="b">
        <f t="shared" si="9"/>
        <v>1</v>
      </c>
    </row>
    <row r="313" spans="1:17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  <c r="O313" t="b">
        <f>COUNTIF($A$2:A313,A313)&gt;1</f>
        <v>0</v>
      </c>
      <c r="P313" t="b">
        <f t="shared" si="8"/>
        <v>1</v>
      </c>
      <c r="Q313" t="b">
        <f t="shared" si="9"/>
        <v>1</v>
      </c>
    </row>
    <row r="314" spans="1:17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  <c r="O314" t="b">
        <f>COUNTIF($A$2:A314,A314)&gt;1</f>
        <v>0</v>
      </c>
      <c r="P314" t="b">
        <f t="shared" si="8"/>
        <v>1</v>
      </c>
      <c r="Q314" t="b">
        <f t="shared" si="9"/>
        <v>1</v>
      </c>
    </row>
    <row r="315" spans="1:17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  <c r="O315" t="b">
        <f>COUNTIF($A$2:A315,A315)&gt;1</f>
        <v>0</v>
      </c>
      <c r="P315" t="b">
        <f t="shared" si="8"/>
        <v>1</v>
      </c>
      <c r="Q315" t="b">
        <f t="shared" si="9"/>
        <v>1</v>
      </c>
    </row>
    <row r="316" spans="1:17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  <c r="O316" t="b">
        <f>COUNTIF($A$2:A316,A316)&gt;1</f>
        <v>0</v>
      </c>
      <c r="P316" t="b">
        <f t="shared" si="8"/>
        <v>1</v>
      </c>
      <c r="Q316" t="b">
        <f t="shared" si="9"/>
        <v>1</v>
      </c>
    </row>
    <row r="317" spans="1:17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  <c r="O317" t="b">
        <f>COUNTIF($A$2:A317,A317)&gt;1</f>
        <v>0</v>
      </c>
      <c r="P317" t="b">
        <f t="shared" si="8"/>
        <v>1</v>
      </c>
      <c r="Q317" t="b">
        <f t="shared" si="9"/>
        <v>1</v>
      </c>
    </row>
    <row r="318" spans="1:17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  <c r="O318" t="b">
        <f>COUNTIF($A$2:A318,A318)&gt;1</f>
        <v>0</v>
      </c>
      <c r="P318" t="b">
        <f t="shared" si="8"/>
        <v>1</v>
      </c>
      <c r="Q318" t="b">
        <f t="shared" si="9"/>
        <v>1</v>
      </c>
    </row>
    <row r="319" spans="1:17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  <c r="O319" t="b">
        <f>COUNTIF($A$2:A319,A319)&gt;1</f>
        <v>0</v>
      </c>
      <c r="P319" t="b">
        <f t="shared" si="8"/>
        <v>1</v>
      </c>
      <c r="Q319" t="b">
        <f t="shared" si="9"/>
        <v>1</v>
      </c>
    </row>
    <row r="320" spans="1:17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  <c r="O320" t="b">
        <f>COUNTIF($A$2:A320,A320)&gt;1</f>
        <v>0</v>
      </c>
      <c r="P320" t="b">
        <f t="shared" si="8"/>
        <v>1</v>
      </c>
      <c r="Q320" t="b">
        <f t="shared" si="9"/>
        <v>1</v>
      </c>
    </row>
    <row r="321" spans="1:17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  <c r="O321" t="b">
        <f>COUNTIF($A$2:A321,A321)&gt;1</f>
        <v>0</v>
      </c>
      <c r="P321" t="b">
        <f t="shared" si="8"/>
        <v>1</v>
      </c>
      <c r="Q321" t="b">
        <f t="shared" si="9"/>
        <v>1</v>
      </c>
    </row>
    <row r="322" spans="1:17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  <c r="O322" t="b">
        <f>COUNTIF($A$2:A322,A322)&gt;1</f>
        <v>0</v>
      </c>
      <c r="P322" t="b">
        <f t="shared" ref="P322:P385" si="10">TRIM(H322)=H322</f>
        <v>1</v>
      </c>
      <c r="Q322" t="b">
        <f t="shared" ref="Q322:Q385" si="11">ROUND(E322*F322,2)=ROUND(N322,2)</f>
        <v>1</v>
      </c>
    </row>
    <row r="323" spans="1:17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  <c r="O323" t="b">
        <f>COUNTIF($A$2:A323,A323)&gt;1</f>
        <v>0</v>
      </c>
      <c r="P323" t="b">
        <f t="shared" si="10"/>
        <v>1</v>
      </c>
      <c r="Q323" t="b">
        <f t="shared" si="11"/>
        <v>1</v>
      </c>
    </row>
    <row r="324" spans="1:17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  <c r="O324" t="b">
        <f>COUNTIF($A$2:A324,A324)&gt;1</f>
        <v>0</v>
      </c>
      <c r="P324" t="b">
        <f t="shared" si="10"/>
        <v>1</v>
      </c>
      <c r="Q324" t="b">
        <f t="shared" si="11"/>
        <v>1</v>
      </c>
    </row>
    <row r="325" spans="1:17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  <c r="O325" t="b">
        <f>COUNTIF($A$2:A325,A325)&gt;1</f>
        <v>0</v>
      </c>
      <c r="P325" t="b">
        <f t="shared" si="10"/>
        <v>1</v>
      </c>
      <c r="Q325" t="b">
        <f t="shared" si="11"/>
        <v>1</v>
      </c>
    </row>
    <row r="326" spans="1:17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  <c r="O326" t="b">
        <f>COUNTIF($A$2:A326,A326)&gt;1</f>
        <v>0</v>
      </c>
      <c r="P326" t="b">
        <f t="shared" si="10"/>
        <v>1</v>
      </c>
      <c r="Q326" t="b">
        <f t="shared" si="11"/>
        <v>1</v>
      </c>
    </row>
    <row r="327" spans="1:17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  <c r="O327" t="b">
        <f>COUNTIF($A$2:A327,A327)&gt;1</f>
        <v>0</v>
      </c>
      <c r="P327" t="b">
        <f t="shared" si="10"/>
        <v>1</v>
      </c>
      <c r="Q327" t="b">
        <f t="shared" si="11"/>
        <v>1</v>
      </c>
    </row>
    <row r="328" spans="1:17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  <c r="O328" t="b">
        <f>COUNTIF($A$2:A328,A328)&gt;1</f>
        <v>0</v>
      </c>
      <c r="P328" t="b">
        <f t="shared" si="10"/>
        <v>1</v>
      </c>
      <c r="Q328" t="b">
        <f t="shared" si="11"/>
        <v>1</v>
      </c>
    </row>
    <row r="329" spans="1:17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  <c r="O329" t="b">
        <f>COUNTIF($A$2:A329,A329)&gt;1</f>
        <v>0</v>
      </c>
      <c r="P329" t="b">
        <f t="shared" si="10"/>
        <v>1</v>
      </c>
      <c r="Q329" t="b">
        <f t="shared" si="11"/>
        <v>1</v>
      </c>
    </row>
    <row r="330" spans="1:17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  <c r="O330" t="b">
        <f>COUNTIF($A$2:A330,A330)&gt;1</f>
        <v>0</v>
      </c>
      <c r="P330" t="b">
        <f t="shared" si="10"/>
        <v>1</v>
      </c>
      <c r="Q330" t="b">
        <f t="shared" si="11"/>
        <v>1</v>
      </c>
    </row>
    <row r="331" spans="1:17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  <c r="O331" t="b">
        <f>COUNTIF($A$2:A331,A331)&gt;1</f>
        <v>0</v>
      </c>
      <c r="P331" t="b">
        <f t="shared" si="10"/>
        <v>1</v>
      </c>
      <c r="Q331" t="b">
        <f t="shared" si="11"/>
        <v>1</v>
      </c>
    </row>
    <row r="332" spans="1:17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  <c r="O332" t="b">
        <f>COUNTIF($A$2:A332,A332)&gt;1</f>
        <v>0</v>
      </c>
      <c r="P332" t="b">
        <f t="shared" si="10"/>
        <v>1</v>
      </c>
      <c r="Q332" t="b">
        <f t="shared" si="11"/>
        <v>1</v>
      </c>
    </row>
    <row r="333" spans="1:17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  <c r="O333" t="b">
        <f>COUNTIF($A$2:A333,A333)&gt;1</f>
        <v>0</v>
      </c>
      <c r="P333" t="b">
        <f t="shared" si="10"/>
        <v>1</v>
      </c>
      <c r="Q333" t="b">
        <f t="shared" si="11"/>
        <v>1</v>
      </c>
    </row>
    <row r="334" spans="1:17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  <c r="O334" t="b">
        <f>COUNTIF($A$2:A334,A334)&gt;1</f>
        <v>0</v>
      </c>
      <c r="P334" t="b">
        <f t="shared" si="10"/>
        <v>1</v>
      </c>
      <c r="Q334" t="b">
        <f t="shared" si="11"/>
        <v>1</v>
      </c>
    </row>
    <row r="335" spans="1:17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  <c r="O335" t="b">
        <f>COUNTIF($A$2:A335,A335)&gt;1</f>
        <v>0</v>
      </c>
      <c r="P335" t="b">
        <f t="shared" si="10"/>
        <v>1</v>
      </c>
      <c r="Q335" t="b">
        <f t="shared" si="11"/>
        <v>1</v>
      </c>
    </row>
    <row r="336" spans="1:17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  <c r="O336" t="b">
        <f>COUNTIF($A$2:A336,A336)&gt;1</f>
        <v>0</v>
      </c>
      <c r="P336" t="b">
        <f t="shared" si="10"/>
        <v>1</v>
      </c>
      <c r="Q336" t="b">
        <f t="shared" si="11"/>
        <v>1</v>
      </c>
    </row>
    <row r="337" spans="1:17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  <c r="O337" t="b">
        <f>COUNTIF($A$2:A337,A337)&gt;1</f>
        <v>0</v>
      </c>
      <c r="P337" t="b">
        <f t="shared" si="10"/>
        <v>1</v>
      </c>
      <c r="Q337" t="b">
        <f t="shared" si="11"/>
        <v>1</v>
      </c>
    </row>
    <row r="338" spans="1:17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  <c r="O338" t="b">
        <f>COUNTIF($A$2:A338,A338)&gt;1</f>
        <v>0</v>
      </c>
      <c r="P338" t="b">
        <f t="shared" si="10"/>
        <v>1</v>
      </c>
      <c r="Q338" t="b">
        <f t="shared" si="11"/>
        <v>1</v>
      </c>
    </row>
    <row r="339" spans="1:17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  <c r="O339" t="b">
        <f>COUNTIF($A$2:A339,A339)&gt;1</f>
        <v>0</v>
      </c>
      <c r="P339" t="b">
        <f t="shared" si="10"/>
        <v>1</v>
      </c>
      <c r="Q339" t="b">
        <f t="shared" si="11"/>
        <v>1</v>
      </c>
    </row>
    <row r="340" spans="1:17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  <c r="O340" t="b">
        <f>COUNTIF($A$2:A340,A340)&gt;1</f>
        <v>0</v>
      </c>
      <c r="P340" t="b">
        <f t="shared" si="10"/>
        <v>1</v>
      </c>
      <c r="Q340" t="b">
        <f t="shared" si="11"/>
        <v>1</v>
      </c>
    </row>
    <row r="341" spans="1:17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  <c r="O341" t="b">
        <f>COUNTIF($A$2:A341,A341)&gt;1</f>
        <v>0</v>
      </c>
      <c r="P341" t="b">
        <f t="shared" si="10"/>
        <v>1</v>
      </c>
      <c r="Q341" t="b">
        <f t="shared" si="11"/>
        <v>1</v>
      </c>
    </row>
    <row r="342" spans="1:17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  <c r="O342" t="b">
        <f>COUNTIF($A$2:A342,A342)&gt;1</f>
        <v>0</v>
      </c>
      <c r="P342" t="b">
        <f t="shared" si="10"/>
        <v>1</v>
      </c>
      <c r="Q342" t="b">
        <f t="shared" si="11"/>
        <v>1</v>
      </c>
    </row>
    <row r="343" spans="1:17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  <c r="O343" t="b">
        <f>COUNTIF($A$2:A343,A343)&gt;1</f>
        <v>0</v>
      </c>
      <c r="P343" t="b">
        <f t="shared" si="10"/>
        <v>1</v>
      </c>
      <c r="Q343" t="b">
        <f t="shared" si="11"/>
        <v>1</v>
      </c>
    </row>
    <row r="344" spans="1:17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  <c r="O344" t="b">
        <f>COUNTIF($A$2:A344,A344)&gt;1</f>
        <v>0</v>
      </c>
      <c r="P344" t="b">
        <f t="shared" si="10"/>
        <v>1</v>
      </c>
      <c r="Q344" t="b">
        <f t="shared" si="11"/>
        <v>1</v>
      </c>
    </row>
    <row r="345" spans="1:17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  <c r="O345" t="b">
        <f>COUNTIF($A$2:A345,A345)&gt;1</f>
        <v>0</v>
      </c>
      <c r="P345" t="b">
        <f t="shared" si="10"/>
        <v>1</v>
      </c>
      <c r="Q345" t="b">
        <f t="shared" si="11"/>
        <v>1</v>
      </c>
    </row>
    <row r="346" spans="1:17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  <c r="O346" t="b">
        <f>COUNTIF($A$2:A346,A346)&gt;1</f>
        <v>0</v>
      </c>
      <c r="P346" t="b">
        <f t="shared" si="10"/>
        <v>1</v>
      </c>
      <c r="Q346" t="b">
        <f t="shared" si="11"/>
        <v>1</v>
      </c>
    </row>
    <row r="347" spans="1:17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  <c r="O347" t="b">
        <f>COUNTIF($A$2:A347,A347)&gt;1</f>
        <v>0</v>
      </c>
      <c r="P347" t="b">
        <f t="shared" si="10"/>
        <v>1</v>
      </c>
      <c r="Q347" t="b">
        <f t="shared" si="11"/>
        <v>1</v>
      </c>
    </row>
    <row r="348" spans="1:17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  <c r="O348" t="b">
        <f>COUNTIF($A$2:A348,A348)&gt;1</f>
        <v>0</v>
      </c>
      <c r="P348" t="b">
        <f t="shared" si="10"/>
        <v>1</v>
      </c>
      <c r="Q348" t="b">
        <f t="shared" si="11"/>
        <v>1</v>
      </c>
    </row>
    <row r="349" spans="1:17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  <c r="O349" t="b">
        <f>COUNTIF($A$2:A349,A349)&gt;1</f>
        <v>0</v>
      </c>
      <c r="P349" t="b">
        <f t="shared" si="10"/>
        <v>1</v>
      </c>
      <c r="Q349" t="b">
        <f t="shared" si="11"/>
        <v>1</v>
      </c>
    </row>
    <row r="350" spans="1:17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  <c r="O350" t="b">
        <f>COUNTIF($A$2:A350,A350)&gt;1</f>
        <v>0</v>
      </c>
      <c r="P350" t="b">
        <f t="shared" si="10"/>
        <v>1</v>
      </c>
      <c r="Q350" t="b">
        <f t="shared" si="11"/>
        <v>1</v>
      </c>
    </row>
    <row r="351" spans="1:17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  <c r="O351" t="b">
        <f>COUNTIF($A$2:A351,A351)&gt;1</f>
        <v>0</v>
      </c>
      <c r="P351" t="b">
        <f t="shared" si="10"/>
        <v>1</v>
      </c>
      <c r="Q351" t="b">
        <f t="shared" si="11"/>
        <v>1</v>
      </c>
    </row>
    <row r="352" spans="1:17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  <c r="O352" t="b">
        <f>COUNTIF($A$2:A352,A352)&gt;1</f>
        <v>0</v>
      </c>
      <c r="P352" t="b">
        <f t="shared" si="10"/>
        <v>1</v>
      </c>
      <c r="Q352" t="b">
        <f t="shared" si="11"/>
        <v>1</v>
      </c>
    </row>
    <row r="353" spans="1:17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  <c r="O353" t="b">
        <f>COUNTIF($A$2:A353,A353)&gt;1</f>
        <v>0</v>
      </c>
      <c r="P353" t="b">
        <f t="shared" si="10"/>
        <v>1</v>
      </c>
      <c r="Q353" t="b">
        <f t="shared" si="11"/>
        <v>1</v>
      </c>
    </row>
    <row r="354" spans="1:17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  <c r="O354" t="b">
        <f>COUNTIF($A$2:A354,A354)&gt;1</f>
        <v>0</v>
      </c>
      <c r="P354" t="b">
        <f t="shared" si="10"/>
        <v>1</v>
      </c>
      <c r="Q354" t="b">
        <f t="shared" si="11"/>
        <v>1</v>
      </c>
    </row>
    <row r="355" spans="1:17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  <c r="O355" t="b">
        <f>COUNTIF($A$2:A355,A355)&gt;1</f>
        <v>0</v>
      </c>
      <c r="P355" t="b">
        <f t="shared" si="10"/>
        <v>1</v>
      </c>
      <c r="Q355" t="b">
        <f t="shared" si="11"/>
        <v>1</v>
      </c>
    </row>
    <row r="356" spans="1:17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  <c r="O356" t="b">
        <f>COUNTIF($A$2:A356,A356)&gt;1</f>
        <v>0</v>
      </c>
      <c r="P356" t="b">
        <f t="shared" si="10"/>
        <v>1</v>
      </c>
      <c r="Q356" t="b">
        <f t="shared" si="11"/>
        <v>1</v>
      </c>
    </row>
    <row r="357" spans="1:17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  <c r="O357" t="b">
        <f>COUNTIF($A$2:A357,A357)&gt;1</f>
        <v>0</v>
      </c>
      <c r="P357" t="b">
        <f t="shared" si="10"/>
        <v>1</v>
      </c>
      <c r="Q357" t="b">
        <f t="shared" si="11"/>
        <v>1</v>
      </c>
    </row>
    <row r="358" spans="1:17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  <c r="O358" t="b">
        <f>COUNTIF($A$2:A358,A358)&gt;1</f>
        <v>0</v>
      </c>
      <c r="P358" t="b">
        <f t="shared" si="10"/>
        <v>1</v>
      </c>
      <c r="Q358" t="b">
        <f t="shared" si="11"/>
        <v>1</v>
      </c>
    </row>
    <row r="359" spans="1:17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  <c r="O359" t="b">
        <f>COUNTIF($A$2:A359,A359)&gt;1</f>
        <v>0</v>
      </c>
      <c r="P359" t="b">
        <f t="shared" si="10"/>
        <v>1</v>
      </c>
      <c r="Q359" t="b">
        <f t="shared" si="11"/>
        <v>1</v>
      </c>
    </row>
    <row r="360" spans="1:17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  <c r="O360" t="b">
        <f>COUNTIF($A$2:A360,A360)&gt;1</f>
        <v>0</v>
      </c>
      <c r="P360" t="b">
        <f t="shared" si="10"/>
        <v>1</v>
      </c>
      <c r="Q360" t="b">
        <f t="shared" si="11"/>
        <v>1</v>
      </c>
    </row>
    <row r="361" spans="1:17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  <c r="O361" t="b">
        <f>COUNTIF($A$2:A361,A361)&gt;1</f>
        <v>0</v>
      </c>
      <c r="P361" t="b">
        <f t="shared" si="10"/>
        <v>1</v>
      </c>
      <c r="Q361" t="b">
        <f t="shared" si="11"/>
        <v>1</v>
      </c>
    </row>
    <row r="362" spans="1:17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  <c r="O362" t="b">
        <f>COUNTIF($A$2:A362,A362)&gt;1</f>
        <v>0</v>
      </c>
      <c r="P362" t="b">
        <f t="shared" si="10"/>
        <v>1</v>
      </c>
      <c r="Q362" t="b">
        <f t="shared" si="11"/>
        <v>1</v>
      </c>
    </row>
    <row r="363" spans="1:17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  <c r="O363" t="b">
        <f>COUNTIF($A$2:A363,A363)&gt;1</f>
        <v>0</v>
      </c>
      <c r="P363" t="b">
        <f t="shared" si="10"/>
        <v>1</v>
      </c>
      <c r="Q363" t="b">
        <f t="shared" si="11"/>
        <v>1</v>
      </c>
    </row>
    <row r="364" spans="1:17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  <c r="O364" t="b">
        <f>COUNTIF($A$2:A364,A364)&gt;1</f>
        <v>0</v>
      </c>
      <c r="P364" t="b">
        <f t="shared" si="10"/>
        <v>1</v>
      </c>
      <c r="Q364" t="b">
        <f t="shared" si="11"/>
        <v>1</v>
      </c>
    </row>
    <row r="365" spans="1:17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  <c r="O365" t="b">
        <f>COUNTIF($A$2:A365,A365)&gt;1</f>
        <v>0</v>
      </c>
      <c r="P365" t="b">
        <f t="shared" si="10"/>
        <v>1</v>
      </c>
      <c r="Q365" t="b">
        <f t="shared" si="11"/>
        <v>1</v>
      </c>
    </row>
    <row r="366" spans="1:17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  <c r="O366" t="b">
        <f>COUNTIF($A$2:A366,A366)&gt;1</f>
        <v>0</v>
      </c>
      <c r="P366" t="b">
        <f t="shared" si="10"/>
        <v>1</v>
      </c>
      <c r="Q366" t="b">
        <f t="shared" si="11"/>
        <v>1</v>
      </c>
    </row>
    <row r="367" spans="1:17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  <c r="O367" t="b">
        <f>COUNTIF($A$2:A367,A367)&gt;1</f>
        <v>0</v>
      </c>
      <c r="P367" t="b">
        <f t="shared" si="10"/>
        <v>1</v>
      </c>
      <c r="Q367" t="b">
        <f t="shared" si="11"/>
        <v>1</v>
      </c>
    </row>
    <row r="368" spans="1:17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  <c r="O368" t="b">
        <f>COUNTIF($A$2:A368,A368)&gt;1</f>
        <v>0</v>
      </c>
      <c r="P368" t="b">
        <f t="shared" si="10"/>
        <v>1</v>
      </c>
      <c r="Q368" t="b">
        <f t="shared" si="11"/>
        <v>1</v>
      </c>
    </row>
    <row r="369" spans="1:17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  <c r="O369" t="b">
        <f>COUNTIF($A$2:A369,A369)&gt;1</f>
        <v>0</v>
      </c>
      <c r="P369" t="b">
        <f t="shared" si="10"/>
        <v>1</v>
      </c>
      <c r="Q369" t="b">
        <f t="shared" si="11"/>
        <v>1</v>
      </c>
    </row>
    <row r="370" spans="1:17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  <c r="O370" t="b">
        <f>COUNTIF($A$2:A370,A370)&gt;1</f>
        <v>0</v>
      </c>
      <c r="P370" t="b">
        <f t="shared" si="10"/>
        <v>1</v>
      </c>
      <c r="Q370" t="b">
        <f t="shared" si="11"/>
        <v>1</v>
      </c>
    </row>
    <row r="371" spans="1:17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  <c r="O371" t="b">
        <f>COUNTIF($A$2:A371,A371)&gt;1</f>
        <v>0</v>
      </c>
      <c r="P371" t="b">
        <f t="shared" si="10"/>
        <v>1</v>
      </c>
      <c r="Q371" t="b">
        <f t="shared" si="11"/>
        <v>1</v>
      </c>
    </row>
    <row r="372" spans="1:17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  <c r="O372" t="b">
        <f>COUNTIF($A$2:A372,A372)&gt;1</f>
        <v>0</v>
      </c>
      <c r="P372" t="b">
        <f t="shared" si="10"/>
        <v>1</v>
      </c>
      <c r="Q372" t="b">
        <f t="shared" si="11"/>
        <v>1</v>
      </c>
    </row>
    <row r="373" spans="1:17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  <c r="O373" t="b">
        <f>COUNTIF($A$2:A373,A373)&gt;1</f>
        <v>0</v>
      </c>
      <c r="P373" t="b">
        <f t="shared" si="10"/>
        <v>1</v>
      </c>
      <c r="Q373" t="b">
        <f t="shared" si="11"/>
        <v>1</v>
      </c>
    </row>
    <row r="374" spans="1:17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  <c r="O374" t="b">
        <f>COUNTIF($A$2:A374,A374)&gt;1</f>
        <v>0</v>
      </c>
      <c r="P374" t="b">
        <f t="shared" si="10"/>
        <v>1</v>
      </c>
      <c r="Q374" t="b">
        <f t="shared" si="11"/>
        <v>1</v>
      </c>
    </row>
    <row r="375" spans="1:17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  <c r="O375" t="b">
        <f>COUNTIF($A$2:A375,A375)&gt;1</f>
        <v>0</v>
      </c>
      <c r="P375" t="b">
        <f t="shared" si="10"/>
        <v>1</v>
      </c>
      <c r="Q375" t="b">
        <f t="shared" si="11"/>
        <v>1</v>
      </c>
    </row>
    <row r="376" spans="1:17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  <c r="O376" t="b">
        <f>COUNTIF($A$2:A376,A376)&gt;1</f>
        <v>0</v>
      </c>
      <c r="P376" t="b">
        <f t="shared" si="10"/>
        <v>1</v>
      </c>
      <c r="Q376" t="b">
        <f t="shared" si="11"/>
        <v>1</v>
      </c>
    </row>
    <row r="377" spans="1:17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  <c r="O377" t="b">
        <f>COUNTIF($A$2:A377,A377)&gt;1</f>
        <v>0</v>
      </c>
      <c r="P377" t="b">
        <f t="shared" si="10"/>
        <v>1</v>
      </c>
      <c r="Q377" t="b">
        <f t="shared" si="11"/>
        <v>1</v>
      </c>
    </row>
    <row r="378" spans="1:17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  <c r="O378" t="b">
        <f>COUNTIF($A$2:A378,A378)&gt;1</f>
        <v>0</v>
      </c>
      <c r="P378" t="b">
        <f t="shared" si="10"/>
        <v>1</v>
      </c>
      <c r="Q378" t="b">
        <f t="shared" si="11"/>
        <v>1</v>
      </c>
    </row>
    <row r="379" spans="1:17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  <c r="O379" t="b">
        <f>COUNTIF($A$2:A379,A379)&gt;1</f>
        <v>0</v>
      </c>
      <c r="P379" t="b">
        <f t="shared" si="10"/>
        <v>1</v>
      </c>
      <c r="Q379" t="b">
        <f t="shared" si="11"/>
        <v>1</v>
      </c>
    </row>
    <row r="380" spans="1:17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  <c r="O380" t="b">
        <f>COUNTIF($A$2:A380,A380)&gt;1</f>
        <v>0</v>
      </c>
      <c r="P380" t="b">
        <f t="shared" si="10"/>
        <v>1</v>
      </c>
      <c r="Q380" t="b">
        <f t="shared" si="11"/>
        <v>1</v>
      </c>
    </row>
    <row r="381" spans="1:17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  <c r="O381" t="b">
        <f>COUNTIF($A$2:A381,A381)&gt;1</f>
        <v>0</v>
      </c>
      <c r="P381" t="b">
        <f t="shared" si="10"/>
        <v>1</v>
      </c>
      <c r="Q381" t="b">
        <f t="shared" si="11"/>
        <v>1</v>
      </c>
    </row>
    <row r="382" spans="1:17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  <c r="O382" t="b">
        <f>COUNTIF($A$2:A382,A382)&gt;1</f>
        <v>0</v>
      </c>
      <c r="P382" t="b">
        <f t="shared" si="10"/>
        <v>1</v>
      </c>
      <c r="Q382" t="b">
        <f t="shared" si="11"/>
        <v>1</v>
      </c>
    </row>
    <row r="383" spans="1:17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  <c r="O383" t="b">
        <f>COUNTIF($A$2:A383,A383)&gt;1</f>
        <v>0</v>
      </c>
      <c r="P383" t="b">
        <f t="shared" si="10"/>
        <v>1</v>
      </c>
      <c r="Q383" t="b">
        <f t="shared" si="11"/>
        <v>1</v>
      </c>
    </row>
    <row r="384" spans="1:17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  <c r="O384" t="b">
        <f>COUNTIF($A$2:A384,A384)&gt;1</f>
        <v>0</v>
      </c>
      <c r="P384" t="b">
        <f t="shared" si="10"/>
        <v>1</v>
      </c>
      <c r="Q384" t="b">
        <f t="shared" si="11"/>
        <v>1</v>
      </c>
    </row>
    <row r="385" spans="1:17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  <c r="O385" t="b">
        <f>COUNTIF($A$2:A385,A385)&gt;1</f>
        <v>0</v>
      </c>
      <c r="P385" t="b">
        <f t="shared" si="10"/>
        <v>1</v>
      </c>
      <c r="Q385" t="b">
        <f t="shared" si="11"/>
        <v>1</v>
      </c>
    </row>
    <row r="386" spans="1:17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  <c r="O386" t="b">
        <f>COUNTIF($A$2:A386,A386)&gt;1</f>
        <v>0</v>
      </c>
      <c r="P386" t="b">
        <f t="shared" ref="P386:P449" si="12">TRIM(H386)=H386</f>
        <v>1</v>
      </c>
      <c r="Q386" t="b">
        <f t="shared" ref="Q386:Q449" si="13">ROUND(E386*F386,2)=ROUND(N386,2)</f>
        <v>1</v>
      </c>
    </row>
    <row r="387" spans="1:17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  <c r="O387" t="b">
        <f>COUNTIF($A$2:A387,A387)&gt;1</f>
        <v>0</v>
      </c>
      <c r="P387" t="b">
        <f t="shared" si="12"/>
        <v>1</v>
      </c>
      <c r="Q387" t="b">
        <f t="shared" si="13"/>
        <v>1</v>
      </c>
    </row>
    <row r="388" spans="1:17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  <c r="O388" t="b">
        <f>COUNTIF($A$2:A388,A388)&gt;1</f>
        <v>0</v>
      </c>
      <c r="P388" t="b">
        <f t="shared" si="12"/>
        <v>1</v>
      </c>
      <c r="Q388" t="b">
        <f t="shared" si="13"/>
        <v>1</v>
      </c>
    </row>
    <row r="389" spans="1:17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  <c r="O389" t="b">
        <f>COUNTIF($A$2:A389,A389)&gt;1</f>
        <v>0</v>
      </c>
      <c r="P389" t="b">
        <f t="shared" si="12"/>
        <v>1</v>
      </c>
      <c r="Q389" t="b">
        <f t="shared" si="13"/>
        <v>1</v>
      </c>
    </row>
    <row r="390" spans="1:17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  <c r="O390" t="b">
        <f>COUNTIF($A$2:A390,A390)&gt;1</f>
        <v>0</v>
      </c>
      <c r="P390" t="b">
        <f t="shared" si="12"/>
        <v>1</v>
      </c>
      <c r="Q390" t="b">
        <f t="shared" si="13"/>
        <v>1</v>
      </c>
    </row>
    <row r="391" spans="1:17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  <c r="O391" t="b">
        <f>COUNTIF($A$2:A391,A391)&gt;1</f>
        <v>0</v>
      </c>
      <c r="P391" t="b">
        <f t="shared" si="12"/>
        <v>1</v>
      </c>
      <c r="Q391" t="b">
        <f t="shared" si="13"/>
        <v>1</v>
      </c>
    </row>
    <row r="392" spans="1:17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  <c r="O392" t="b">
        <f>COUNTIF($A$2:A392,A392)&gt;1</f>
        <v>0</v>
      </c>
      <c r="P392" t="b">
        <f t="shared" si="12"/>
        <v>1</v>
      </c>
      <c r="Q392" t="b">
        <f t="shared" si="13"/>
        <v>1</v>
      </c>
    </row>
    <row r="393" spans="1:17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  <c r="O393" t="b">
        <f>COUNTIF($A$2:A393,A393)&gt;1</f>
        <v>0</v>
      </c>
      <c r="P393" t="b">
        <f t="shared" si="12"/>
        <v>1</v>
      </c>
      <c r="Q393" t="b">
        <f t="shared" si="13"/>
        <v>1</v>
      </c>
    </row>
    <row r="394" spans="1:17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  <c r="O394" t="b">
        <f>COUNTIF($A$2:A394,A394)&gt;1</f>
        <v>0</v>
      </c>
      <c r="P394" t="b">
        <f t="shared" si="12"/>
        <v>1</v>
      </c>
      <c r="Q394" t="b">
        <f t="shared" si="13"/>
        <v>1</v>
      </c>
    </row>
    <row r="395" spans="1:17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  <c r="O395" t="b">
        <f>COUNTIF($A$2:A395,A395)&gt;1</f>
        <v>0</v>
      </c>
      <c r="P395" t="b">
        <f t="shared" si="12"/>
        <v>1</v>
      </c>
      <c r="Q395" t="b">
        <f t="shared" si="13"/>
        <v>1</v>
      </c>
    </row>
    <row r="396" spans="1:17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  <c r="O396" t="b">
        <f>COUNTIF($A$2:A396,A396)&gt;1</f>
        <v>0</v>
      </c>
      <c r="P396" t="b">
        <f t="shared" si="12"/>
        <v>1</v>
      </c>
      <c r="Q396" t="b">
        <f t="shared" si="13"/>
        <v>1</v>
      </c>
    </row>
    <row r="397" spans="1:17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  <c r="O397" t="b">
        <f>COUNTIF($A$2:A397,A397)&gt;1</f>
        <v>0</v>
      </c>
      <c r="P397" t="b">
        <f t="shared" si="12"/>
        <v>1</v>
      </c>
      <c r="Q397" t="b">
        <f t="shared" si="13"/>
        <v>1</v>
      </c>
    </row>
    <row r="398" spans="1:17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  <c r="O398" t="b">
        <f>COUNTIF($A$2:A398,A398)&gt;1</f>
        <v>0</v>
      </c>
      <c r="P398" t="b">
        <f t="shared" si="12"/>
        <v>1</v>
      </c>
      <c r="Q398" t="b">
        <f t="shared" si="13"/>
        <v>1</v>
      </c>
    </row>
    <row r="399" spans="1:17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  <c r="O399" t="b">
        <f>COUNTIF($A$2:A399,A399)&gt;1</f>
        <v>0</v>
      </c>
      <c r="P399" t="b">
        <f t="shared" si="12"/>
        <v>1</v>
      </c>
      <c r="Q399" t="b">
        <f t="shared" si="13"/>
        <v>1</v>
      </c>
    </row>
    <row r="400" spans="1:17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  <c r="O400" t="b">
        <f>COUNTIF($A$2:A400,A400)&gt;1</f>
        <v>0</v>
      </c>
      <c r="P400" t="b">
        <f t="shared" si="12"/>
        <v>1</v>
      </c>
      <c r="Q400" t="b">
        <f t="shared" si="13"/>
        <v>1</v>
      </c>
    </row>
    <row r="401" spans="1:17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  <c r="O401" t="b">
        <f>COUNTIF($A$2:A401,A401)&gt;1</f>
        <v>0</v>
      </c>
      <c r="P401" t="b">
        <f t="shared" si="12"/>
        <v>1</v>
      </c>
      <c r="Q401" t="b">
        <f t="shared" si="13"/>
        <v>1</v>
      </c>
    </row>
    <row r="402" spans="1:17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  <c r="O402" t="b">
        <f>COUNTIF($A$2:A402,A402)&gt;1</f>
        <v>0</v>
      </c>
      <c r="P402" t="b">
        <f t="shared" si="12"/>
        <v>1</v>
      </c>
      <c r="Q402" t="b">
        <f t="shared" si="13"/>
        <v>1</v>
      </c>
    </row>
    <row r="403" spans="1:17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  <c r="O403" t="b">
        <f>COUNTIF($A$2:A403,A403)&gt;1</f>
        <v>0</v>
      </c>
      <c r="P403" t="b">
        <f t="shared" si="12"/>
        <v>1</v>
      </c>
      <c r="Q403" t="b">
        <f t="shared" si="13"/>
        <v>1</v>
      </c>
    </row>
    <row r="404" spans="1:17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  <c r="O404" t="b">
        <f>COUNTIF($A$2:A404,A404)&gt;1</f>
        <v>0</v>
      </c>
      <c r="P404" t="b">
        <f t="shared" si="12"/>
        <v>1</v>
      </c>
      <c r="Q404" t="b">
        <f t="shared" si="13"/>
        <v>1</v>
      </c>
    </row>
    <row r="405" spans="1:17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  <c r="O405" t="b">
        <f>COUNTIF($A$2:A405,A405)&gt;1</f>
        <v>0</v>
      </c>
      <c r="P405" t="b">
        <f t="shared" si="12"/>
        <v>1</v>
      </c>
      <c r="Q405" t="b">
        <f t="shared" si="13"/>
        <v>1</v>
      </c>
    </row>
    <row r="406" spans="1:17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  <c r="O406" t="b">
        <f>COUNTIF($A$2:A406,A406)&gt;1</f>
        <v>0</v>
      </c>
      <c r="P406" t="b">
        <f t="shared" si="12"/>
        <v>1</v>
      </c>
      <c r="Q406" t="b">
        <f t="shared" si="13"/>
        <v>1</v>
      </c>
    </row>
    <row r="407" spans="1:17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  <c r="O407" t="b">
        <f>COUNTIF($A$2:A407,A407)&gt;1</f>
        <v>0</v>
      </c>
      <c r="P407" t="b">
        <f t="shared" si="12"/>
        <v>1</v>
      </c>
      <c r="Q407" t="b">
        <f t="shared" si="13"/>
        <v>1</v>
      </c>
    </row>
    <row r="408" spans="1:17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  <c r="O408" t="b">
        <f>COUNTIF($A$2:A408,A408)&gt;1</f>
        <v>0</v>
      </c>
      <c r="P408" t="b">
        <f t="shared" si="12"/>
        <v>1</v>
      </c>
      <c r="Q408" t="b">
        <f t="shared" si="13"/>
        <v>1</v>
      </c>
    </row>
    <row r="409" spans="1:17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  <c r="O409" t="b">
        <f>COUNTIF($A$2:A409,A409)&gt;1</f>
        <v>0</v>
      </c>
      <c r="P409" t="b">
        <f t="shared" si="12"/>
        <v>1</v>
      </c>
      <c r="Q409" t="b">
        <f t="shared" si="13"/>
        <v>1</v>
      </c>
    </row>
    <row r="410" spans="1:17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  <c r="O410" t="b">
        <f>COUNTIF($A$2:A410,A410)&gt;1</f>
        <v>0</v>
      </c>
      <c r="P410" t="b">
        <f t="shared" si="12"/>
        <v>1</v>
      </c>
      <c r="Q410" t="b">
        <f t="shared" si="13"/>
        <v>1</v>
      </c>
    </row>
    <row r="411" spans="1:17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  <c r="O411" t="b">
        <f>COUNTIF($A$2:A411,A411)&gt;1</f>
        <v>0</v>
      </c>
      <c r="P411" t="b">
        <f t="shared" si="12"/>
        <v>1</v>
      </c>
      <c r="Q411" t="b">
        <f t="shared" si="13"/>
        <v>1</v>
      </c>
    </row>
    <row r="412" spans="1:17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  <c r="O412" t="b">
        <f>COUNTIF($A$2:A412,A412)&gt;1</f>
        <v>0</v>
      </c>
      <c r="P412" t="b">
        <f t="shared" si="12"/>
        <v>1</v>
      </c>
      <c r="Q412" t="b">
        <f t="shared" si="13"/>
        <v>1</v>
      </c>
    </row>
    <row r="413" spans="1:17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  <c r="O413" t="b">
        <f>COUNTIF($A$2:A413,A413)&gt;1</f>
        <v>0</v>
      </c>
      <c r="P413" t="b">
        <f t="shared" si="12"/>
        <v>1</v>
      </c>
      <c r="Q413" t="b">
        <f t="shared" si="13"/>
        <v>1</v>
      </c>
    </row>
    <row r="414" spans="1:17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  <c r="O414" t="b">
        <f>COUNTIF($A$2:A414,A414)&gt;1</f>
        <v>0</v>
      </c>
      <c r="P414" t="b">
        <f t="shared" si="12"/>
        <v>1</v>
      </c>
      <c r="Q414" t="b">
        <f t="shared" si="13"/>
        <v>1</v>
      </c>
    </row>
    <row r="415" spans="1:17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  <c r="O415" t="b">
        <f>COUNTIF($A$2:A415,A415)&gt;1</f>
        <v>0</v>
      </c>
      <c r="P415" t="b">
        <f t="shared" si="12"/>
        <v>1</v>
      </c>
      <c r="Q415" t="b">
        <f t="shared" si="13"/>
        <v>1</v>
      </c>
    </row>
    <row r="416" spans="1:17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  <c r="O416" t="b">
        <f>COUNTIF($A$2:A416,A416)&gt;1</f>
        <v>0</v>
      </c>
      <c r="P416" t="b">
        <f t="shared" si="12"/>
        <v>1</v>
      </c>
      <c r="Q416" t="b">
        <f t="shared" si="13"/>
        <v>1</v>
      </c>
    </row>
    <row r="417" spans="1:17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  <c r="O417" t="b">
        <f>COUNTIF($A$2:A417,A417)&gt;1</f>
        <v>0</v>
      </c>
      <c r="P417" t="b">
        <f t="shared" si="12"/>
        <v>1</v>
      </c>
      <c r="Q417" t="b">
        <f t="shared" si="13"/>
        <v>1</v>
      </c>
    </row>
    <row r="418" spans="1:17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  <c r="O418" t="b">
        <f>COUNTIF($A$2:A418,A418)&gt;1</f>
        <v>0</v>
      </c>
      <c r="P418" t="b">
        <f t="shared" si="12"/>
        <v>1</v>
      </c>
      <c r="Q418" t="b">
        <f t="shared" si="13"/>
        <v>1</v>
      </c>
    </row>
    <row r="419" spans="1:17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  <c r="O419" t="b">
        <f>COUNTIF($A$2:A419,A419)&gt;1</f>
        <v>0</v>
      </c>
      <c r="P419" t="b">
        <f t="shared" si="12"/>
        <v>1</v>
      </c>
      <c r="Q419" t="b">
        <f t="shared" si="13"/>
        <v>1</v>
      </c>
    </row>
    <row r="420" spans="1:17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  <c r="O420" t="b">
        <f>COUNTIF($A$2:A420,A420)&gt;1</f>
        <v>0</v>
      </c>
      <c r="P420" t="b">
        <f t="shared" si="12"/>
        <v>1</v>
      </c>
      <c r="Q420" t="b">
        <f t="shared" si="13"/>
        <v>1</v>
      </c>
    </row>
    <row r="421" spans="1:17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  <c r="O421" t="b">
        <f>COUNTIF($A$2:A421,A421)&gt;1</f>
        <v>0</v>
      </c>
      <c r="P421" t="b">
        <f t="shared" si="12"/>
        <v>1</v>
      </c>
      <c r="Q421" t="b">
        <f t="shared" si="13"/>
        <v>1</v>
      </c>
    </row>
    <row r="422" spans="1:17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  <c r="O422" t="b">
        <f>COUNTIF($A$2:A422,A422)&gt;1</f>
        <v>0</v>
      </c>
      <c r="P422" t="b">
        <f t="shared" si="12"/>
        <v>1</v>
      </c>
      <c r="Q422" t="b">
        <f t="shared" si="13"/>
        <v>1</v>
      </c>
    </row>
    <row r="423" spans="1:17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  <c r="O423" t="b">
        <f>COUNTIF($A$2:A423,A423)&gt;1</f>
        <v>0</v>
      </c>
      <c r="P423" t="b">
        <f t="shared" si="12"/>
        <v>1</v>
      </c>
      <c r="Q423" t="b">
        <f t="shared" si="13"/>
        <v>1</v>
      </c>
    </row>
    <row r="424" spans="1:17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  <c r="O424" t="b">
        <f>COUNTIF($A$2:A424,A424)&gt;1</f>
        <v>0</v>
      </c>
      <c r="P424" t="b">
        <f t="shared" si="12"/>
        <v>1</v>
      </c>
      <c r="Q424" t="b">
        <f t="shared" si="13"/>
        <v>1</v>
      </c>
    </row>
    <row r="425" spans="1:17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  <c r="O425" t="b">
        <f>COUNTIF($A$2:A425,A425)&gt;1</f>
        <v>0</v>
      </c>
      <c r="P425" t="b">
        <f t="shared" si="12"/>
        <v>1</v>
      </c>
      <c r="Q425" t="b">
        <f t="shared" si="13"/>
        <v>1</v>
      </c>
    </row>
    <row r="426" spans="1:17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  <c r="O426" t="b">
        <f>COUNTIF($A$2:A426,A426)&gt;1</f>
        <v>0</v>
      </c>
      <c r="P426" t="b">
        <f t="shared" si="12"/>
        <v>1</v>
      </c>
      <c r="Q426" t="b">
        <f t="shared" si="13"/>
        <v>1</v>
      </c>
    </row>
    <row r="427" spans="1:17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  <c r="O427" t="b">
        <f>COUNTIF($A$2:A427,A427)&gt;1</f>
        <v>0</v>
      </c>
      <c r="P427" t="b">
        <f t="shared" si="12"/>
        <v>1</v>
      </c>
      <c r="Q427" t="b">
        <f t="shared" si="13"/>
        <v>1</v>
      </c>
    </row>
    <row r="428" spans="1:17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  <c r="O428" t="b">
        <f>COUNTIF($A$2:A428,A428)&gt;1</f>
        <v>0</v>
      </c>
      <c r="P428" t="b">
        <f t="shared" si="12"/>
        <v>1</v>
      </c>
      <c r="Q428" t="b">
        <f t="shared" si="13"/>
        <v>1</v>
      </c>
    </row>
    <row r="429" spans="1:17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  <c r="O429" t="b">
        <f>COUNTIF($A$2:A429,A429)&gt;1</f>
        <v>0</v>
      </c>
      <c r="P429" t="b">
        <f t="shared" si="12"/>
        <v>1</v>
      </c>
      <c r="Q429" t="b">
        <f t="shared" si="13"/>
        <v>1</v>
      </c>
    </row>
    <row r="430" spans="1:17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  <c r="O430" t="b">
        <f>COUNTIF($A$2:A430,A430)&gt;1</f>
        <v>0</v>
      </c>
      <c r="P430" t="b">
        <f t="shared" si="12"/>
        <v>1</v>
      </c>
      <c r="Q430" t="b">
        <f t="shared" si="13"/>
        <v>1</v>
      </c>
    </row>
    <row r="431" spans="1:17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  <c r="O431" t="b">
        <f>COUNTIF($A$2:A431,A431)&gt;1</f>
        <v>0</v>
      </c>
      <c r="P431" t="b">
        <f t="shared" si="12"/>
        <v>1</v>
      </c>
      <c r="Q431" t="b">
        <f t="shared" si="13"/>
        <v>1</v>
      </c>
    </row>
    <row r="432" spans="1:17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  <c r="O432" t="b">
        <f>COUNTIF($A$2:A432,A432)&gt;1</f>
        <v>0</v>
      </c>
      <c r="P432" t="b">
        <f t="shared" si="12"/>
        <v>1</v>
      </c>
      <c r="Q432" t="b">
        <f t="shared" si="13"/>
        <v>1</v>
      </c>
    </row>
    <row r="433" spans="1:17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  <c r="O433" t="b">
        <f>COUNTIF($A$2:A433,A433)&gt;1</f>
        <v>0</v>
      </c>
      <c r="P433" t="b">
        <f t="shared" si="12"/>
        <v>1</v>
      </c>
      <c r="Q433" t="b">
        <f t="shared" si="13"/>
        <v>1</v>
      </c>
    </row>
    <row r="434" spans="1:17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  <c r="O434" t="b">
        <f>COUNTIF($A$2:A434,A434)&gt;1</f>
        <v>0</v>
      </c>
      <c r="P434" t="b">
        <f t="shared" si="12"/>
        <v>1</v>
      </c>
      <c r="Q434" t="b">
        <f t="shared" si="13"/>
        <v>1</v>
      </c>
    </row>
    <row r="435" spans="1:17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  <c r="O435" t="b">
        <f>COUNTIF($A$2:A435,A435)&gt;1</f>
        <v>0</v>
      </c>
      <c r="P435" t="b">
        <f t="shared" si="12"/>
        <v>1</v>
      </c>
      <c r="Q435" t="b">
        <f t="shared" si="13"/>
        <v>1</v>
      </c>
    </row>
    <row r="436" spans="1:17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  <c r="O436" t="b">
        <f>COUNTIF($A$2:A436,A436)&gt;1</f>
        <v>0</v>
      </c>
      <c r="P436" t="b">
        <f t="shared" si="12"/>
        <v>1</v>
      </c>
      <c r="Q436" t="b">
        <f t="shared" si="13"/>
        <v>1</v>
      </c>
    </row>
    <row r="437" spans="1:17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  <c r="O437" t="b">
        <f>COUNTIF($A$2:A437,A437)&gt;1</f>
        <v>0</v>
      </c>
      <c r="P437" t="b">
        <f t="shared" si="12"/>
        <v>1</v>
      </c>
      <c r="Q437" t="b">
        <f t="shared" si="13"/>
        <v>1</v>
      </c>
    </row>
    <row r="438" spans="1:17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  <c r="O438" t="b">
        <f>COUNTIF($A$2:A438,A438)&gt;1</f>
        <v>0</v>
      </c>
      <c r="P438" t="b">
        <f t="shared" si="12"/>
        <v>1</v>
      </c>
      <c r="Q438" t="b">
        <f t="shared" si="13"/>
        <v>1</v>
      </c>
    </row>
    <row r="439" spans="1:17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  <c r="O439" t="b">
        <f>COUNTIF($A$2:A439,A439)&gt;1</f>
        <v>0</v>
      </c>
      <c r="P439" t="b">
        <f t="shared" si="12"/>
        <v>1</v>
      </c>
      <c r="Q439" t="b">
        <f t="shared" si="13"/>
        <v>1</v>
      </c>
    </row>
    <row r="440" spans="1:17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  <c r="O440" t="b">
        <f>COUNTIF($A$2:A440,A440)&gt;1</f>
        <v>0</v>
      </c>
      <c r="P440" t="b">
        <f t="shared" si="12"/>
        <v>1</v>
      </c>
      <c r="Q440" t="b">
        <f t="shared" si="13"/>
        <v>1</v>
      </c>
    </row>
    <row r="441" spans="1:17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  <c r="O441" t="b">
        <f>COUNTIF($A$2:A441,A441)&gt;1</f>
        <v>0</v>
      </c>
      <c r="P441" t="b">
        <f t="shared" si="12"/>
        <v>1</v>
      </c>
      <c r="Q441" t="b">
        <f t="shared" si="13"/>
        <v>1</v>
      </c>
    </row>
    <row r="442" spans="1:17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  <c r="O442" t="b">
        <f>COUNTIF($A$2:A442,A442)&gt;1</f>
        <v>0</v>
      </c>
      <c r="P442" t="b">
        <f t="shared" si="12"/>
        <v>1</v>
      </c>
      <c r="Q442" t="b">
        <f t="shared" si="13"/>
        <v>1</v>
      </c>
    </row>
    <row r="443" spans="1:17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  <c r="O443" t="b">
        <f>COUNTIF($A$2:A443,A443)&gt;1</f>
        <v>0</v>
      </c>
      <c r="P443" t="b">
        <f t="shared" si="12"/>
        <v>1</v>
      </c>
      <c r="Q443" t="b">
        <f t="shared" si="13"/>
        <v>1</v>
      </c>
    </row>
    <row r="444" spans="1:17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  <c r="O444" t="b">
        <f>COUNTIF($A$2:A444,A444)&gt;1</f>
        <v>0</v>
      </c>
      <c r="P444" t="b">
        <f t="shared" si="12"/>
        <v>1</v>
      </c>
      <c r="Q444" t="b">
        <f t="shared" si="13"/>
        <v>1</v>
      </c>
    </row>
    <row r="445" spans="1:17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  <c r="O445" t="b">
        <f>COUNTIF($A$2:A445,A445)&gt;1</f>
        <v>0</v>
      </c>
      <c r="P445" t="b">
        <f t="shared" si="12"/>
        <v>1</v>
      </c>
      <c r="Q445" t="b">
        <f t="shared" si="13"/>
        <v>1</v>
      </c>
    </row>
    <row r="446" spans="1:17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  <c r="O446" t="b">
        <f>COUNTIF($A$2:A446,A446)&gt;1</f>
        <v>0</v>
      </c>
      <c r="P446" t="b">
        <f t="shared" si="12"/>
        <v>1</v>
      </c>
      <c r="Q446" t="b">
        <f t="shared" si="13"/>
        <v>1</v>
      </c>
    </row>
    <row r="447" spans="1:17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  <c r="O447" t="b">
        <f>COUNTIF($A$2:A447,A447)&gt;1</f>
        <v>0</v>
      </c>
      <c r="P447" t="b">
        <f t="shared" si="12"/>
        <v>1</v>
      </c>
      <c r="Q447" t="b">
        <f t="shared" si="13"/>
        <v>1</v>
      </c>
    </row>
    <row r="448" spans="1:17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  <c r="O448" t="b">
        <f>COUNTIF($A$2:A448,A448)&gt;1</f>
        <v>0</v>
      </c>
      <c r="P448" t="b">
        <f t="shared" si="12"/>
        <v>1</v>
      </c>
      <c r="Q448" t="b">
        <f t="shared" si="13"/>
        <v>1</v>
      </c>
    </row>
    <row r="449" spans="1:17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  <c r="O449" t="b">
        <f>COUNTIF($A$2:A449,A449)&gt;1</f>
        <v>0</v>
      </c>
      <c r="P449" t="b">
        <f t="shared" si="12"/>
        <v>1</v>
      </c>
      <c r="Q449" t="b">
        <f t="shared" si="13"/>
        <v>1</v>
      </c>
    </row>
    <row r="450" spans="1:17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  <c r="O450" t="b">
        <f>COUNTIF($A$2:A450,A450)&gt;1</f>
        <v>0</v>
      </c>
      <c r="P450" t="b">
        <f t="shared" ref="P450:P513" si="14">TRIM(H450)=H450</f>
        <v>1</v>
      </c>
      <c r="Q450" t="b">
        <f t="shared" ref="Q450:Q513" si="15">ROUND(E450*F450,2)=ROUND(N450,2)</f>
        <v>1</v>
      </c>
    </row>
    <row r="451" spans="1:17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759.15000000000009</v>
      </c>
      <c r="O451" t="b">
        <f>COUNTIF($A$2:A451,A451)&gt;1</f>
        <v>0</v>
      </c>
      <c r="P451" t="b">
        <f t="shared" si="14"/>
        <v>1</v>
      </c>
      <c r="Q451" t="b">
        <f t="shared" si="15"/>
        <v>1</v>
      </c>
    </row>
    <row r="452" spans="1:17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  <c r="O452" t="b">
        <f>COUNTIF($A$2:A452,A452)&gt;1</f>
        <v>0</v>
      </c>
      <c r="P452" t="b">
        <f t="shared" si="14"/>
        <v>1</v>
      </c>
      <c r="Q452" t="b">
        <f t="shared" si="15"/>
        <v>1</v>
      </c>
    </row>
    <row r="453" spans="1:17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  <c r="O453" t="b">
        <f>COUNTIF($A$2:A453,A453)&gt;1</f>
        <v>0</v>
      </c>
      <c r="P453" t="b">
        <f t="shared" si="14"/>
        <v>1</v>
      </c>
      <c r="Q453" t="b">
        <f t="shared" si="15"/>
        <v>1</v>
      </c>
    </row>
    <row r="454" spans="1:17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  <c r="O454" t="b">
        <f>COUNTIF($A$2:A454,A454)&gt;1</f>
        <v>0</v>
      </c>
      <c r="P454" t="b">
        <f t="shared" si="14"/>
        <v>1</v>
      </c>
      <c r="Q454" t="b">
        <f t="shared" si="15"/>
        <v>1</v>
      </c>
    </row>
    <row r="455" spans="1:17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  <c r="O455" t="b">
        <f>COUNTIF($A$2:A455,A455)&gt;1</f>
        <v>0</v>
      </c>
      <c r="P455" t="b">
        <f t="shared" si="14"/>
        <v>1</v>
      </c>
      <c r="Q455" t="b">
        <f t="shared" si="15"/>
        <v>1</v>
      </c>
    </row>
    <row r="456" spans="1:17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  <c r="O456" t="b">
        <f>COUNTIF($A$2:A456,A456)&gt;1</f>
        <v>0</v>
      </c>
      <c r="P456" t="b">
        <f t="shared" si="14"/>
        <v>1</v>
      </c>
      <c r="Q456" t="b">
        <f t="shared" si="15"/>
        <v>1</v>
      </c>
    </row>
    <row r="457" spans="1:17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  <c r="O457" t="b">
        <f>COUNTIF($A$2:A457,A457)&gt;1</f>
        <v>0</v>
      </c>
      <c r="P457" t="b">
        <f t="shared" si="14"/>
        <v>1</v>
      </c>
      <c r="Q457" t="b">
        <f t="shared" si="15"/>
        <v>1</v>
      </c>
    </row>
    <row r="458" spans="1:17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  <c r="O458" t="b">
        <f>COUNTIF($A$2:A458,A458)&gt;1</f>
        <v>0</v>
      </c>
      <c r="P458" t="b">
        <f t="shared" si="14"/>
        <v>1</v>
      </c>
      <c r="Q458" t="b">
        <f t="shared" si="15"/>
        <v>1</v>
      </c>
    </row>
    <row r="459" spans="1:17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  <c r="O459" t="b">
        <f>COUNTIF($A$2:A459,A459)&gt;1</f>
        <v>0</v>
      </c>
      <c r="P459" t="b">
        <f t="shared" si="14"/>
        <v>1</v>
      </c>
      <c r="Q459" t="b">
        <f t="shared" si="15"/>
        <v>1</v>
      </c>
    </row>
    <row r="460" spans="1:17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  <c r="O460" t="b">
        <f>COUNTIF($A$2:A460,A460)&gt;1</f>
        <v>0</v>
      </c>
      <c r="P460" t="b">
        <f t="shared" si="14"/>
        <v>1</v>
      </c>
      <c r="Q460" t="b">
        <f t="shared" si="15"/>
        <v>1</v>
      </c>
    </row>
    <row r="461" spans="1:17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  <c r="O461" t="b">
        <f>COUNTIF($A$2:A461,A461)&gt;1</f>
        <v>0</v>
      </c>
      <c r="P461" t="b">
        <f t="shared" si="14"/>
        <v>1</v>
      </c>
      <c r="Q461" t="b">
        <f t="shared" si="15"/>
        <v>1</v>
      </c>
    </row>
    <row r="462" spans="1:17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  <c r="O462" t="b">
        <f>COUNTIF($A$2:A462,A462)&gt;1</f>
        <v>0</v>
      </c>
      <c r="P462" t="b">
        <f t="shared" si="14"/>
        <v>1</v>
      </c>
      <c r="Q462" t="b">
        <f t="shared" si="15"/>
        <v>1</v>
      </c>
    </row>
    <row r="463" spans="1:17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  <c r="O463" t="b">
        <f>COUNTIF($A$2:A463,A463)&gt;1</f>
        <v>0</v>
      </c>
      <c r="P463" t="b">
        <f t="shared" si="14"/>
        <v>1</v>
      </c>
      <c r="Q463" t="b">
        <f t="shared" si="15"/>
        <v>1</v>
      </c>
    </row>
    <row r="464" spans="1:17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  <c r="O464" t="b">
        <f>COUNTIF($A$2:A464,A464)&gt;1</f>
        <v>0</v>
      </c>
      <c r="P464" t="b">
        <f t="shared" si="14"/>
        <v>1</v>
      </c>
      <c r="Q464" t="b">
        <f t="shared" si="15"/>
        <v>1</v>
      </c>
    </row>
    <row r="465" spans="1:17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  <c r="O465" t="b">
        <f>COUNTIF($A$2:A465,A465)&gt;1</f>
        <v>0</v>
      </c>
      <c r="P465" t="b">
        <f t="shared" si="14"/>
        <v>1</v>
      </c>
      <c r="Q465" t="b">
        <f t="shared" si="15"/>
        <v>1</v>
      </c>
    </row>
    <row r="466" spans="1:17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  <c r="O466" t="b">
        <f>COUNTIF($A$2:A466,A466)&gt;1</f>
        <v>0</v>
      </c>
      <c r="P466" t="b">
        <f t="shared" si="14"/>
        <v>1</v>
      </c>
      <c r="Q466" t="b">
        <f t="shared" si="15"/>
        <v>1</v>
      </c>
    </row>
    <row r="467" spans="1:17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  <c r="O467" t="b">
        <f>COUNTIF($A$2:A467,A467)&gt;1</f>
        <v>0</v>
      </c>
      <c r="P467" t="b">
        <f t="shared" si="14"/>
        <v>1</v>
      </c>
      <c r="Q467" t="b">
        <f t="shared" si="15"/>
        <v>1</v>
      </c>
    </row>
    <row r="468" spans="1:17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  <c r="O468" t="b">
        <f>COUNTIF($A$2:A468,A468)&gt;1</f>
        <v>0</v>
      </c>
      <c r="P468" t="b">
        <f t="shared" si="14"/>
        <v>1</v>
      </c>
      <c r="Q468" t="b">
        <f t="shared" si="15"/>
        <v>1</v>
      </c>
    </row>
    <row r="469" spans="1:17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  <c r="O469" t="b">
        <f>COUNTIF($A$2:A469,A469)&gt;1</f>
        <v>0</v>
      </c>
      <c r="P469" t="b">
        <f t="shared" si="14"/>
        <v>1</v>
      </c>
      <c r="Q469" t="b">
        <f t="shared" si="15"/>
        <v>1</v>
      </c>
    </row>
    <row r="470" spans="1:17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  <c r="O470" t="b">
        <f>COUNTIF($A$2:A470,A470)&gt;1</f>
        <v>0</v>
      </c>
      <c r="P470" t="b">
        <f t="shared" si="14"/>
        <v>1</v>
      </c>
      <c r="Q470" t="b">
        <f t="shared" si="15"/>
        <v>1</v>
      </c>
    </row>
    <row r="471" spans="1:17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  <c r="O471" t="b">
        <f>COUNTIF($A$2:A471,A471)&gt;1</f>
        <v>0</v>
      </c>
      <c r="P471" t="b">
        <f t="shared" si="14"/>
        <v>1</v>
      </c>
      <c r="Q471" t="b">
        <f t="shared" si="15"/>
        <v>1</v>
      </c>
    </row>
    <row r="472" spans="1:17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  <c r="O472" t="b">
        <f>COUNTIF($A$2:A472,A472)&gt;1</f>
        <v>0</v>
      </c>
      <c r="P472" t="b">
        <f t="shared" si="14"/>
        <v>1</v>
      </c>
      <c r="Q472" t="b">
        <f t="shared" si="15"/>
        <v>1</v>
      </c>
    </row>
    <row r="473" spans="1:17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  <c r="O473" t="b">
        <f>COUNTIF($A$2:A473,A473)&gt;1</f>
        <v>0</v>
      </c>
      <c r="P473" t="b">
        <f t="shared" si="14"/>
        <v>1</v>
      </c>
      <c r="Q473" t="b">
        <f t="shared" si="15"/>
        <v>1</v>
      </c>
    </row>
    <row r="474" spans="1:17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  <c r="O474" t="b">
        <f>COUNTIF($A$2:A474,A474)&gt;1</f>
        <v>0</v>
      </c>
      <c r="P474" t="b">
        <f t="shared" si="14"/>
        <v>1</v>
      </c>
      <c r="Q474" t="b">
        <f t="shared" si="15"/>
        <v>1</v>
      </c>
    </row>
    <row r="475" spans="1:17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  <c r="O475" t="b">
        <f>COUNTIF($A$2:A475,A475)&gt;1</f>
        <v>0</v>
      </c>
      <c r="P475" t="b">
        <f t="shared" si="14"/>
        <v>1</v>
      </c>
      <c r="Q475" t="b">
        <f t="shared" si="15"/>
        <v>1</v>
      </c>
    </row>
    <row r="476" spans="1:17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  <c r="O476" t="b">
        <f>COUNTIF($A$2:A476,A476)&gt;1</f>
        <v>0</v>
      </c>
      <c r="P476" t="b">
        <f t="shared" si="14"/>
        <v>1</v>
      </c>
      <c r="Q476" t="b">
        <f t="shared" si="15"/>
        <v>1</v>
      </c>
    </row>
    <row r="477" spans="1:17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  <c r="O477" t="b">
        <f>COUNTIF($A$2:A477,A477)&gt;1</f>
        <v>0</v>
      </c>
      <c r="P477" t="b">
        <f t="shared" si="14"/>
        <v>1</v>
      </c>
      <c r="Q477" t="b">
        <f t="shared" si="15"/>
        <v>1</v>
      </c>
    </row>
    <row r="478" spans="1:17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  <c r="O478" t="b">
        <f>COUNTIF($A$2:A478,A478)&gt;1</f>
        <v>0</v>
      </c>
      <c r="P478" t="b">
        <f t="shared" si="14"/>
        <v>1</v>
      </c>
      <c r="Q478" t="b">
        <f t="shared" si="15"/>
        <v>1</v>
      </c>
    </row>
    <row r="479" spans="1:17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  <c r="O479" t="b">
        <f>COUNTIF($A$2:A479,A479)&gt;1</f>
        <v>0</v>
      </c>
      <c r="P479" t="b">
        <f t="shared" si="14"/>
        <v>1</v>
      </c>
      <c r="Q479" t="b">
        <f t="shared" si="15"/>
        <v>1</v>
      </c>
    </row>
    <row r="480" spans="1:17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  <c r="O480" t="b">
        <f>COUNTIF($A$2:A480,A480)&gt;1</f>
        <v>0</v>
      </c>
      <c r="P480" t="b">
        <f t="shared" si="14"/>
        <v>1</v>
      </c>
      <c r="Q480" t="b">
        <f t="shared" si="15"/>
        <v>1</v>
      </c>
    </row>
    <row r="481" spans="1:17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  <c r="O481" t="b">
        <f>COUNTIF($A$2:A481,A481)&gt;1</f>
        <v>0</v>
      </c>
      <c r="P481" t="b">
        <f t="shared" si="14"/>
        <v>1</v>
      </c>
      <c r="Q481" t="b">
        <f t="shared" si="15"/>
        <v>1</v>
      </c>
    </row>
    <row r="482" spans="1:17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  <c r="O482" t="b">
        <f>COUNTIF($A$2:A482,A482)&gt;1</f>
        <v>0</v>
      </c>
      <c r="P482" t="b">
        <f t="shared" si="14"/>
        <v>1</v>
      </c>
      <c r="Q482" t="b">
        <f t="shared" si="15"/>
        <v>1</v>
      </c>
    </row>
    <row r="483" spans="1:17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  <c r="O483" t="b">
        <f>COUNTIF($A$2:A483,A483)&gt;1</f>
        <v>0</v>
      </c>
      <c r="P483" t="b">
        <f t="shared" si="14"/>
        <v>1</v>
      </c>
      <c r="Q483" t="b">
        <f t="shared" si="15"/>
        <v>1</v>
      </c>
    </row>
    <row r="484" spans="1:17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  <c r="O484" t="b">
        <f>COUNTIF($A$2:A484,A484)&gt;1</f>
        <v>0</v>
      </c>
      <c r="P484" t="b">
        <f t="shared" si="14"/>
        <v>1</v>
      </c>
      <c r="Q484" t="b">
        <f t="shared" si="15"/>
        <v>1</v>
      </c>
    </row>
    <row r="485" spans="1:17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  <c r="O485" t="b">
        <f>COUNTIF($A$2:A485,A485)&gt;1</f>
        <v>0</v>
      </c>
      <c r="P485" t="b">
        <f t="shared" si="14"/>
        <v>1</v>
      </c>
      <c r="Q485" t="b">
        <f t="shared" si="15"/>
        <v>1</v>
      </c>
    </row>
    <row r="486" spans="1:17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  <c r="O486" t="b">
        <f>COUNTIF($A$2:A486,A486)&gt;1</f>
        <v>0</v>
      </c>
      <c r="P486" t="b">
        <f t="shared" si="14"/>
        <v>1</v>
      </c>
      <c r="Q486" t="b">
        <f t="shared" si="15"/>
        <v>1</v>
      </c>
    </row>
    <row r="487" spans="1:17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  <c r="O487" t="b">
        <f>COUNTIF($A$2:A487,A487)&gt;1</f>
        <v>0</v>
      </c>
      <c r="P487" t="b">
        <f t="shared" si="14"/>
        <v>1</v>
      </c>
      <c r="Q487" t="b">
        <f t="shared" si="15"/>
        <v>1</v>
      </c>
    </row>
    <row r="488" spans="1:17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  <c r="O488" t="b">
        <f>COUNTIF($A$2:A488,A488)&gt;1</f>
        <v>0</v>
      </c>
      <c r="P488" t="b">
        <f t="shared" si="14"/>
        <v>1</v>
      </c>
      <c r="Q488" t="b">
        <f t="shared" si="15"/>
        <v>1</v>
      </c>
    </row>
    <row r="489" spans="1:17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  <c r="O489" t="b">
        <f>COUNTIF($A$2:A489,A489)&gt;1</f>
        <v>0</v>
      </c>
      <c r="P489" t="b">
        <f t="shared" si="14"/>
        <v>1</v>
      </c>
      <c r="Q489" t="b">
        <f t="shared" si="15"/>
        <v>1</v>
      </c>
    </row>
    <row r="490" spans="1:17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  <c r="O490" t="b">
        <f>COUNTIF($A$2:A490,A490)&gt;1</f>
        <v>0</v>
      </c>
      <c r="P490" t="b">
        <f t="shared" si="14"/>
        <v>1</v>
      </c>
      <c r="Q490" t="b">
        <f t="shared" si="15"/>
        <v>1</v>
      </c>
    </row>
    <row r="491" spans="1:17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  <c r="O491" t="b">
        <f>COUNTIF($A$2:A491,A491)&gt;1</f>
        <v>0</v>
      </c>
      <c r="P491" t="b">
        <f t="shared" si="14"/>
        <v>1</v>
      </c>
      <c r="Q491" t="b">
        <f t="shared" si="15"/>
        <v>1</v>
      </c>
    </row>
    <row r="492" spans="1:17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  <c r="O492" t="b">
        <f>COUNTIF($A$2:A492,A492)&gt;1</f>
        <v>0</v>
      </c>
      <c r="P492" t="b">
        <f t="shared" si="14"/>
        <v>1</v>
      </c>
      <c r="Q492" t="b">
        <f t="shared" si="15"/>
        <v>1</v>
      </c>
    </row>
    <row r="493" spans="1:17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  <c r="O493" t="b">
        <f>COUNTIF($A$2:A493,A493)&gt;1</f>
        <v>0</v>
      </c>
      <c r="P493" t="b">
        <f t="shared" si="14"/>
        <v>1</v>
      </c>
      <c r="Q493" t="b">
        <f t="shared" si="15"/>
        <v>1</v>
      </c>
    </row>
    <row r="494" spans="1:17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  <c r="O494" t="b">
        <f>COUNTIF($A$2:A494,A494)&gt;1</f>
        <v>0</v>
      </c>
      <c r="P494" t="b">
        <f t="shared" si="14"/>
        <v>1</v>
      </c>
      <c r="Q494" t="b">
        <f t="shared" si="15"/>
        <v>1</v>
      </c>
    </row>
    <row r="495" spans="1:17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  <c r="O495" t="b">
        <f>COUNTIF($A$2:A495,A495)&gt;1</f>
        <v>0</v>
      </c>
      <c r="P495" t="b">
        <f t="shared" si="14"/>
        <v>1</v>
      </c>
      <c r="Q495" t="b">
        <f t="shared" si="15"/>
        <v>1</v>
      </c>
    </row>
    <row r="496" spans="1:17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  <c r="O496" t="b">
        <f>COUNTIF($A$2:A496,A496)&gt;1</f>
        <v>0</v>
      </c>
      <c r="P496" t="b">
        <f t="shared" si="14"/>
        <v>1</v>
      </c>
      <c r="Q496" t="b">
        <f t="shared" si="15"/>
        <v>1</v>
      </c>
    </row>
    <row r="497" spans="1:17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  <c r="O497" t="b">
        <f>COUNTIF($A$2:A497,A497)&gt;1</f>
        <v>0</v>
      </c>
      <c r="P497" t="b">
        <f t="shared" si="14"/>
        <v>1</v>
      </c>
      <c r="Q497" t="b">
        <f t="shared" si="15"/>
        <v>1</v>
      </c>
    </row>
    <row r="498" spans="1:17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  <c r="O498" t="b">
        <f>COUNTIF($A$2:A498,A498)&gt;1</f>
        <v>0</v>
      </c>
      <c r="P498" t="b">
        <f t="shared" si="14"/>
        <v>1</v>
      </c>
      <c r="Q498" t="b">
        <f t="shared" si="15"/>
        <v>1</v>
      </c>
    </row>
    <row r="499" spans="1:17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  <c r="O499" t="b">
        <f>COUNTIF($A$2:A499,A499)&gt;1</f>
        <v>0</v>
      </c>
      <c r="P499" t="b">
        <f t="shared" si="14"/>
        <v>1</v>
      </c>
      <c r="Q499" t="b">
        <f t="shared" si="15"/>
        <v>1</v>
      </c>
    </row>
    <row r="500" spans="1:17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  <c r="O500" t="b">
        <f>COUNTIF($A$2:A500,A500)&gt;1</f>
        <v>0</v>
      </c>
      <c r="P500" t="b">
        <f t="shared" si="14"/>
        <v>1</v>
      </c>
      <c r="Q500" t="b">
        <f t="shared" si="15"/>
        <v>1</v>
      </c>
    </row>
    <row r="501" spans="1:17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  <c r="O501" t="b">
        <f>COUNTIF($A$2:A501,A501)&gt;1</f>
        <v>0</v>
      </c>
      <c r="P501" t="b">
        <f t="shared" si="14"/>
        <v>1</v>
      </c>
      <c r="Q501" t="b">
        <f t="shared" si="15"/>
        <v>1</v>
      </c>
    </row>
    <row r="502" spans="1:17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  <c r="O502" t="b">
        <f>COUNTIF($A$2:A502,A502)&gt;1</f>
        <v>0</v>
      </c>
      <c r="P502" t="b">
        <f t="shared" si="14"/>
        <v>1</v>
      </c>
      <c r="Q502" t="b">
        <f t="shared" si="15"/>
        <v>1</v>
      </c>
    </row>
    <row r="503" spans="1:17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  <c r="O503" t="b">
        <f>COUNTIF($A$2:A503,A503)&gt;1</f>
        <v>0</v>
      </c>
      <c r="P503" t="b">
        <f t="shared" si="14"/>
        <v>1</v>
      </c>
      <c r="Q503" t="b">
        <f t="shared" si="15"/>
        <v>1</v>
      </c>
    </row>
    <row r="504" spans="1:17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  <c r="O504" t="b">
        <f>COUNTIF($A$2:A504,A504)&gt;1</f>
        <v>0</v>
      </c>
      <c r="P504" t="b">
        <f t="shared" si="14"/>
        <v>1</v>
      </c>
      <c r="Q504" t="b">
        <f t="shared" si="15"/>
        <v>1</v>
      </c>
    </row>
    <row r="505" spans="1:17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  <c r="O505" t="b">
        <f>COUNTIF($A$2:A505,A505)&gt;1</f>
        <v>0</v>
      </c>
      <c r="P505" t="b">
        <f t="shared" si="14"/>
        <v>1</v>
      </c>
      <c r="Q505" t="b">
        <f t="shared" si="15"/>
        <v>1</v>
      </c>
    </row>
    <row r="506" spans="1:17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  <c r="O506" t="b">
        <f>COUNTIF($A$2:A506,A506)&gt;1</f>
        <v>0</v>
      </c>
      <c r="P506" t="b">
        <f t="shared" si="14"/>
        <v>1</v>
      </c>
      <c r="Q506" t="b">
        <f t="shared" si="15"/>
        <v>1</v>
      </c>
    </row>
    <row r="507" spans="1:17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  <c r="O507" t="b">
        <f>COUNTIF($A$2:A507,A507)&gt;1</f>
        <v>0</v>
      </c>
      <c r="P507" t="b">
        <f t="shared" si="14"/>
        <v>1</v>
      </c>
      <c r="Q507" t="b">
        <f t="shared" si="15"/>
        <v>1</v>
      </c>
    </row>
    <row r="508" spans="1:17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  <c r="O508" t="b">
        <f>COUNTIF($A$2:A508,A508)&gt;1</f>
        <v>0</v>
      </c>
      <c r="P508" t="b">
        <f t="shared" si="14"/>
        <v>1</v>
      </c>
      <c r="Q508" t="b">
        <f t="shared" si="15"/>
        <v>1</v>
      </c>
    </row>
    <row r="509" spans="1:17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  <c r="O509" t="b">
        <f>COUNTIF($A$2:A509,A509)&gt;1</f>
        <v>0</v>
      </c>
      <c r="P509" t="b">
        <f t="shared" si="14"/>
        <v>1</v>
      </c>
      <c r="Q509" t="b">
        <f t="shared" si="15"/>
        <v>1</v>
      </c>
    </row>
    <row r="510" spans="1:17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  <c r="O510" t="b">
        <f>COUNTIF($A$2:A510,A510)&gt;1</f>
        <v>0</v>
      </c>
      <c r="P510" t="b">
        <f t="shared" si="14"/>
        <v>1</v>
      </c>
      <c r="Q510" t="b">
        <f t="shared" si="15"/>
        <v>1</v>
      </c>
    </row>
    <row r="511" spans="1:17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  <c r="O511" t="b">
        <f>COUNTIF($A$2:A511,A511)&gt;1</f>
        <v>0</v>
      </c>
      <c r="P511" t="b">
        <f t="shared" si="14"/>
        <v>1</v>
      </c>
      <c r="Q511" t="b">
        <f t="shared" si="15"/>
        <v>1</v>
      </c>
    </row>
    <row r="512" spans="1:17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  <c r="O512" t="b">
        <f>COUNTIF($A$2:A512,A512)&gt;1</f>
        <v>0</v>
      </c>
      <c r="P512" t="b">
        <f t="shared" si="14"/>
        <v>1</v>
      </c>
      <c r="Q512" t="b">
        <f t="shared" si="15"/>
        <v>1</v>
      </c>
    </row>
    <row r="513" spans="1:17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  <c r="O513" t="b">
        <f>COUNTIF($A$2:A513,A513)&gt;1</f>
        <v>0</v>
      </c>
      <c r="P513" t="b">
        <f t="shared" si="14"/>
        <v>1</v>
      </c>
      <c r="Q513" t="b">
        <f t="shared" si="15"/>
        <v>1</v>
      </c>
    </row>
    <row r="514" spans="1:17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  <c r="O514" t="b">
        <f>COUNTIF($A$2:A514,A514)&gt;1</f>
        <v>0</v>
      </c>
      <c r="P514" t="b">
        <f t="shared" ref="P514:P577" si="16">TRIM(H514)=H514</f>
        <v>1</v>
      </c>
      <c r="Q514" t="b">
        <f t="shared" ref="Q514:Q577" si="17">ROUND(E514*F514,2)=ROUND(N514,2)</f>
        <v>1</v>
      </c>
    </row>
    <row r="515" spans="1:17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  <c r="O515" t="b">
        <f>COUNTIF($A$2:A515,A515)&gt;1</f>
        <v>0</v>
      </c>
      <c r="P515" t="b">
        <f t="shared" si="16"/>
        <v>1</v>
      </c>
      <c r="Q515" t="b">
        <f t="shared" si="17"/>
        <v>1</v>
      </c>
    </row>
    <row r="516" spans="1:17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  <c r="O516" t="b">
        <f>COUNTIF($A$2:A516,A516)&gt;1</f>
        <v>0</v>
      </c>
      <c r="P516" t="b">
        <f t="shared" si="16"/>
        <v>1</v>
      </c>
      <c r="Q516" t="b">
        <f t="shared" si="17"/>
        <v>1</v>
      </c>
    </row>
    <row r="517" spans="1:17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  <c r="O517" t="b">
        <f>COUNTIF($A$2:A517,A517)&gt;1</f>
        <v>0</v>
      </c>
      <c r="P517" t="b">
        <f t="shared" si="16"/>
        <v>1</v>
      </c>
      <c r="Q517" t="b">
        <f t="shared" si="17"/>
        <v>1</v>
      </c>
    </row>
    <row r="518" spans="1:17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  <c r="O518" t="b">
        <f>COUNTIF($A$2:A518,A518)&gt;1</f>
        <v>0</v>
      </c>
      <c r="P518" t="b">
        <f t="shared" si="16"/>
        <v>1</v>
      </c>
      <c r="Q518" t="b">
        <f t="shared" si="17"/>
        <v>1</v>
      </c>
    </row>
    <row r="519" spans="1:17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  <c r="O519" t="b">
        <f>COUNTIF($A$2:A519,A519)&gt;1</f>
        <v>0</v>
      </c>
      <c r="P519" t="b">
        <f t="shared" si="16"/>
        <v>1</v>
      </c>
      <c r="Q519" t="b">
        <f t="shared" si="17"/>
        <v>1</v>
      </c>
    </row>
    <row r="520" spans="1:17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  <c r="O520" t="b">
        <f>COUNTIF($A$2:A520,A520)&gt;1</f>
        <v>0</v>
      </c>
      <c r="P520" t="b">
        <f t="shared" si="16"/>
        <v>1</v>
      </c>
      <c r="Q520" t="b">
        <f t="shared" si="17"/>
        <v>1</v>
      </c>
    </row>
    <row r="521" spans="1:17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  <c r="O521" t="b">
        <f>COUNTIF($A$2:A521,A521)&gt;1</f>
        <v>0</v>
      </c>
      <c r="P521" t="b">
        <f t="shared" si="16"/>
        <v>1</v>
      </c>
      <c r="Q521" t="b">
        <f t="shared" si="17"/>
        <v>1</v>
      </c>
    </row>
    <row r="522" spans="1:17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  <c r="O522" t="b">
        <f>COUNTIF($A$2:A522,A522)&gt;1</f>
        <v>0</v>
      </c>
      <c r="P522" t="b">
        <f t="shared" si="16"/>
        <v>1</v>
      </c>
      <c r="Q522" t="b">
        <f t="shared" si="17"/>
        <v>1</v>
      </c>
    </row>
    <row r="523" spans="1:17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  <c r="O523" t="b">
        <f>COUNTIF($A$2:A523,A523)&gt;1</f>
        <v>0</v>
      </c>
      <c r="P523" t="b">
        <f t="shared" si="16"/>
        <v>1</v>
      </c>
      <c r="Q523" t="b">
        <f t="shared" si="17"/>
        <v>1</v>
      </c>
    </row>
    <row r="524" spans="1:17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  <c r="O524" t="b">
        <f>COUNTIF($A$2:A524,A524)&gt;1</f>
        <v>0</v>
      </c>
      <c r="P524" t="b">
        <f t="shared" si="16"/>
        <v>1</v>
      </c>
      <c r="Q524" t="b">
        <f t="shared" si="17"/>
        <v>1</v>
      </c>
    </row>
    <row r="525" spans="1:17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  <c r="O525" t="b">
        <f>COUNTIF($A$2:A525,A525)&gt;1</f>
        <v>0</v>
      </c>
      <c r="P525" t="b">
        <f t="shared" si="16"/>
        <v>1</v>
      </c>
      <c r="Q525" t="b">
        <f t="shared" si="17"/>
        <v>1</v>
      </c>
    </row>
    <row r="526" spans="1:17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  <c r="O526" t="b">
        <f>COUNTIF($A$2:A526,A526)&gt;1</f>
        <v>0</v>
      </c>
      <c r="P526" t="b">
        <f t="shared" si="16"/>
        <v>1</v>
      </c>
      <c r="Q526" t="b">
        <f t="shared" si="17"/>
        <v>1</v>
      </c>
    </row>
    <row r="527" spans="1:17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  <c r="O527" t="b">
        <f>COUNTIF($A$2:A527,A527)&gt;1</f>
        <v>0</v>
      </c>
      <c r="P527" t="b">
        <f t="shared" si="16"/>
        <v>1</v>
      </c>
      <c r="Q527" t="b">
        <f t="shared" si="17"/>
        <v>1</v>
      </c>
    </row>
    <row r="528" spans="1:17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  <c r="O528" t="b">
        <f>COUNTIF($A$2:A528,A528)&gt;1</f>
        <v>0</v>
      </c>
      <c r="P528" t="b">
        <f t="shared" si="16"/>
        <v>1</v>
      </c>
      <c r="Q528" t="b">
        <f t="shared" si="17"/>
        <v>1</v>
      </c>
    </row>
    <row r="529" spans="1:17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  <c r="O529" t="b">
        <f>COUNTIF($A$2:A529,A529)&gt;1</f>
        <v>0</v>
      </c>
      <c r="P529" t="b">
        <f t="shared" si="16"/>
        <v>1</v>
      </c>
      <c r="Q529" t="b">
        <f t="shared" si="17"/>
        <v>1</v>
      </c>
    </row>
    <row r="530" spans="1:17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  <c r="O530" t="b">
        <f>COUNTIF($A$2:A530,A530)&gt;1</f>
        <v>0</v>
      </c>
      <c r="P530" t="b">
        <f t="shared" si="16"/>
        <v>1</v>
      </c>
      <c r="Q530" t="b">
        <f t="shared" si="17"/>
        <v>1</v>
      </c>
    </row>
    <row r="531" spans="1:17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  <c r="O531" t="b">
        <f>COUNTIF($A$2:A531,A531)&gt;1</f>
        <v>0</v>
      </c>
      <c r="P531" t="b">
        <f t="shared" si="16"/>
        <v>1</v>
      </c>
      <c r="Q531" t="b">
        <f t="shared" si="17"/>
        <v>1</v>
      </c>
    </row>
    <row r="532" spans="1:17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  <c r="O532" t="b">
        <f>COUNTIF($A$2:A532,A532)&gt;1</f>
        <v>0</v>
      </c>
      <c r="P532" t="b">
        <f t="shared" si="16"/>
        <v>1</v>
      </c>
      <c r="Q532" t="b">
        <f t="shared" si="17"/>
        <v>1</v>
      </c>
    </row>
    <row r="533" spans="1:17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  <c r="O533" t="b">
        <f>COUNTIF($A$2:A533,A533)&gt;1</f>
        <v>0</v>
      </c>
      <c r="P533" t="b">
        <f t="shared" si="16"/>
        <v>1</v>
      </c>
      <c r="Q533" t="b">
        <f t="shared" si="17"/>
        <v>1</v>
      </c>
    </row>
    <row r="534" spans="1:17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  <c r="O534" t="b">
        <f>COUNTIF($A$2:A534,A534)&gt;1</f>
        <v>0</v>
      </c>
      <c r="P534" t="b">
        <f t="shared" si="16"/>
        <v>1</v>
      </c>
      <c r="Q534" t="b">
        <f t="shared" si="17"/>
        <v>1</v>
      </c>
    </row>
    <row r="535" spans="1:17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  <c r="O535" t="b">
        <f>COUNTIF($A$2:A535,A535)&gt;1</f>
        <v>0</v>
      </c>
      <c r="P535" t="b">
        <f t="shared" si="16"/>
        <v>1</v>
      </c>
      <c r="Q535" t="b">
        <f t="shared" si="17"/>
        <v>1</v>
      </c>
    </row>
    <row r="536" spans="1:17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  <c r="O536" t="b">
        <f>COUNTIF($A$2:A536,A536)&gt;1</f>
        <v>0</v>
      </c>
      <c r="P536" t="b">
        <f t="shared" si="16"/>
        <v>1</v>
      </c>
      <c r="Q536" t="b">
        <f t="shared" si="17"/>
        <v>1</v>
      </c>
    </row>
    <row r="537" spans="1:17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  <c r="O537" t="b">
        <f>COUNTIF($A$2:A537,A537)&gt;1</f>
        <v>0</v>
      </c>
      <c r="P537" t="b">
        <f t="shared" si="16"/>
        <v>1</v>
      </c>
      <c r="Q537" t="b">
        <f t="shared" si="17"/>
        <v>1</v>
      </c>
    </row>
    <row r="538" spans="1:17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  <c r="O538" t="b">
        <f>COUNTIF($A$2:A538,A538)&gt;1</f>
        <v>0</v>
      </c>
      <c r="P538" t="b">
        <f t="shared" si="16"/>
        <v>1</v>
      </c>
      <c r="Q538" t="b">
        <f t="shared" si="17"/>
        <v>1</v>
      </c>
    </row>
    <row r="539" spans="1:17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  <c r="O539" t="b">
        <f>COUNTIF($A$2:A539,A539)&gt;1</f>
        <v>0</v>
      </c>
      <c r="P539" t="b">
        <f t="shared" si="16"/>
        <v>1</v>
      </c>
      <c r="Q539" t="b">
        <f t="shared" si="17"/>
        <v>1</v>
      </c>
    </row>
    <row r="540" spans="1:17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  <c r="O540" t="b">
        <f>COUNTIF($A$2:A540,A540)&gt;1</f>
        <v>0</v>
      </c>
      <c r="P540" t="b">
        <f t="shared" si="16"/>
        <v>1</v>
      </c>
      <c r="Q540" t="b">
        <f t="shared" si="17"/>
        <v>1</v>
      </c>
    </row>
    <row r="541" spans="1:17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  <c r="O541" t="b">
        <f>COUNTIF($A$2:A541,A541)&gt;1</f>
        <v>0</v>
      </c>
      <c r="P541" t="b">
        <f t="shared" si="16"/>
        <v>1</v>
      </c>
      <c r="Q541" t="b">
        <f t="shared" si="17"/>
        <v>1</v>
      </c>
    </row>
    <row r="542" spans="1:17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  <c r="O542" t="b">
        <f>COUNTIF($A$2:A542,A542)&gt;1</f>
        <v>0</v>
      </c>
      <c r="P542" t="b">
        <f t="shared" si="16"/>
        <v>1</v>
      </c>
      <c r="Q542" t="b">
        <f t="shared" si="17"/>
        <v>1</v>
      </c>
    </row>
    <row r="543" spans="1:17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  <c r="O543" t="b">
        <f>COUNTIF($A$2:A543,A543)&gt;1</f>
        <v>0</v>
      </c>
      <c r="P543" t="b">
        <f t="shared" si="16"/>
        <v>1</v>
      </c>
      <c r="Q543" t="b">
        <f t="shared" si="17"/>
        <v>1</v>
      </c>
    </row>
    <row r="544" spans="1:17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  <c r="O544" t="b">
        <f>COUNTIF($A$2:A544,A544)&gt;1</f>
        <v>0</v>
      </c>
      <c r="P544" t="b">
        <f t="shared" si="16"/>
        <v>1</v>
      </c>
      <c r="Q544" t="b">
        <f t="shared" si="17"/>
        <v>1</v>
      </c>
    </row>
    <row r="545" spans="1:17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  <c r="O545" t="b">
        <f>COUNTIF($A$2:A545,A545)&gt;1</f>
        <v>0</v>
      </c>
      <c r="P545" t="b">
        <f t="shared" si="16"/>
        <v>1</v>
      </c>
      <c r="Q545" t="b">
        <f t="shared" si="17"/>
        <v>1</v>
      </c>
    </row>
    <row r="546" spans="1:17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  <c r="O546" t="b">
        <f>COUNTIF($A$2:A546,A546)&gt;1</f>
        <v>0</v>
      </c>
      <c r="P546" t="b">
        <f t="shared" si="16"/>
        <v>1</v>
      </c>
      <c r="Q546" t="b">
        <f t="shared" si="17"/>
        <v>1</v>
      </c>
    </row>
    <row r="547" spans="1:17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  <c r="O547" t="b">
        <f>COUNTIF($A$2:A547,A547)&gt;1</f>
        <v>0</v>
      </c>
      <c r="P547" t="b">
        <f t="shared" si="16"/>
        <v>1</v>
      </c>
      <c r="Q547" t="b">
        <f t="shared" si="17"/>
        <v>1</v>
      </c>
    </row>
    <row r="548" spans="1:17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  <c r="O548" t="b">
        <f>COUNTIF($A$2:A548,A548)&gt;1</f>
        <v>0</v>
      </c>
      <c r="P548" t="b">
        <f t="shared" si="16"/>
        <v>1</v>
      </c>
      <c r="Q548" t="b">
        <f t="shared" si="17"/>
        <v>1</v>
      </c>
    </row>
    <row r="549" spans="1:17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  <c r="O549" t="b">
        <f>COUNTIF($A$2:A549,A549)&gt;1</f>
        <v>0</v>
      </c>
      <c r="P549" t="b">
        <f t="shared" si="16"/>
        <v>1</v>
      </c>
      <c r="Q549" t="b">
        <f t="shared" si="17"/>
        <v>1</v>
      </c>
    </row>
    <row r="550" spans="1:17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  <c r="O550" t="b">
        <f>COUNTIF($A$2:A550,A550)&gt;1</f>
        <v>0</v>
      </c>
      <c r="P550" t="b">
        <f t="shared" si="16"/>
        <v>1</v>
      </c>
      <c r="Q550" t="b">
        <f t="shared" si="17"/>
        <v>1</v>
      </c>
    </row>
    <row r="551" spans="1:17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  <c r="O551" t="b">
        <f>COUNTIF($A$2:A551,A551)&gt;1</f>
        <v>0</v>
      </c>
      <c r="P551" t="b">
        <f t="shared" si="16"/>
        <v>1</v>
      </c>
      <c r="Q551" t="b">
        <f t="shared" si="17"/>
        <v>1</v>
      </c>
    </row>
    <row r="552" spans="1:17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  <c r="O552" t="b">
        <f>COUNTIF($A$2:A552,A552)&gt;1</f>
        <v>0</v>
      </c>
      <c r="P552" t="b">
        <f t="shared" si="16"/>
        <v>1</v>
      </c>
      <c r="Q552" t="b">
        <f t="shared" si="17"/>
        <v>1</v>
      </c>
    </row>
    <row r="553" spans="1:17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  <c r="O553" t="b">
        <f>COUNTIF($A$2:A553,A553)&gt;1</f>
        <v>0</v>
      </c>
      <c r="P553" t="b">
        <f t="shared" si="16"/>
        <v>1</v>
      </c>
      <c r="Q553" t="b">
        <f t="shared" si="17"/>
        <v>1</v>
      </c>
    </row>
    <row r="554" spans="1:17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  <c r="O554" t="b">
        <f>COUNTIF($A$2:A554,A554)&gt;1</f>
        <v>0</v>
      </c>
      <c r="P554" t="b">
        <f t="shared" si="16"/>
        <v>1</v>
      </c>
      <c r="Q554" t="b">
        <f t="shared" si="17"/>
        <v>1</v>
      </c>
    </row>
    <row r="555" spans="1:17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  <c r="O555" t="b">
        <f>COUNTIF($A$2:A555,A555)&gt;1</f>
        <v>0</v>
      </c>
      <c r="P555" t="b">
        <f t="shared" si="16"/>
        <v>1</v>
      </c>
      <c r="Q555" t="b">
        <f t="shared" si="17"/>
        <v>1</v>
      </c>
    </row>
    <row r="556" spans="1:17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  <c r="O556" t="b">
        <f>COUNTIF($A$2:A556,A556)&gt;1</f>
        <v>0</v>
      </c>
      <c r="P556" t="b">
        <f t="shared" si="16"/>
        <v>1</v>
      </c>
      <c r="Q556" t="b">
        <f t="shared" si="17"/>
        <v>1</v>
      </c>
    </row>
    <row r="557" spans="1:17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  <c r="O557" t="b">
        <f>COUNTIF($A$2:A557,A557)&gt;1</f>
        <v>0</v>
      </c>
      <c r="P557" t="b">
        <f t="shared" si="16"/>
        <v>1</v>
      </c>
      <c r="Q557" t="b">
        <f t="shared" si="17"/>
        <v>1</v>
      </c>
    </row>
    <row r="558" spans="1:17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  <c r="O558" t="b">
        <f>COUNTIF($A$2:A558,A558)&gt;1</f>
        <v>0</v>
      </c>
      <c r="P558" t="b">
        <f t="shared" si="16"/>
        <v>1</v>
      </c>
      <c r="Q558" t="b">
        <f t="shared" si="17"/>
        <v>1</v>
      </c>
    </row>
    <row r="559" spans="1:17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  <c r="O559" t="b">
        <f>COUNTIF($A$2:A559,A559)&gt;1</f>
        <v>0</v>
      </c>
      <c r="P559" t="b">
        <f t="shared" si="16"/>
        <v>1</v>
      </c>
      <c r="Q559" t="b">
        <f t="shared" si="17"/>
        <v>1</v>
      </c>
    </row>
    <row r="560" spans="1:17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  <c r="O560" t="b">
        <f>COUNTIF($A$2:A560,A560)&gt;1</f>
        <v>0</v>
      </c>
      <c r="P560" t="b">
        <f t="shared" si="16"/>
        <v>1</v>
      </c>
      <c r="Q560" t="b">
        <f t="shared" si="17"/>
        <v>1</v>
      </c>
    </row>
    <row r="561" spans="1:17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  <c r="O561" t="b">
        <f>COUNTIF($A$2:A561,A561)&gt;1</f>
        <v>0</v>
      </c>
      <c r="P561" t="b">
        <f t="shared" si="16"/>
        <v>1</v>
      </c>
      <c r="Q561" t="b">
        <f t="shared" si="17"/>
        <v>1</v>
      </c>
    </row>
    <row r="562" spans="1:17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  <c r="O562" t="b">
        <f>COUNTIF($A$2:A562,A562)&gt;1</f>
        <v>0</v>
      </c>
      <c r="P562" t="b">
        <f t="shared" si="16"/>
        <v>1</v>
      </c>
      <c r="Q562" t="b">
        <f t="shared" si="17"/>
        <v>1</v>
      </c>
    </row>
    <row r="563" spans="1:17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  <c r="O563" t="b">
        <f>COUNTIF($A$2:A563,A563)&gt;1</f>
        <v>0</v>
      </c>
      <c r="P563" t="b">
        <f t="shared" si="16"/>
        <v>1</v>
      </c>
      <c r="Q563" t="b">
        <f t="shared" si="17"/>
        <v>1</v>
      </c>
    </row>
    <row r="564" spans="1:17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  <c r="O564" t="b">
        <f>COUNTIF($A$2:A564,A564)&gt;1</f>
        <v>0</v>
      </c>
      <c r="P564" t="b">
        <f t="shared" si="16"/>
        <v>1</v>
      </c>
      <c r="Q564" t="b">
        <f t="shared" si="17"/>
        <v>1</v>
      </c>
    </row>
    <row r="565" spans="1:17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  <c r="O565" t="b">
        <f>COUNTIF($A$2:A565,A565)&gt;1</f>
        <v>0</v>
      </c>
      <c r="P565" t="b">
        <f t="shared" si="16"/>
        <v>1</v>
      </c>
      <c r="Q565" t="b">
        <f t="shared" si="17"/>
        <v>1</v>
      </c>
    </row>
    <row r="566" spans="1:17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  <c r="O566" t="b">
        <f>COUNTIF($A$2:A566,A566)&gt;1</f>
        <v>0</v>
      </c>
      <c r="P566" t="b">
        <f t="shared" si="16"/>
        <v>1</v>
      </c>
      <c r="Q566" t="b">
        <f t="shared" si="17"/>
        <v>1</v>
      </c>
    </row>
    <row r="567" spans="1:17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  <c r="O567" t="b">
        <f>COUNTIF($A$2:A567,A567)&gt;1</f>
        <v>0</v>
      </c>
      <c r="P567" t="b">
        <f t="shared" si="16"/>
        <v>1</v>
      </c>
      <c r="Q567" t="b">
        <f t="shared" si="17"/>
        <v>1</v>
      </c>
    </row>
    <row r="568" spans="1:17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  <c r="O568" t="b">
        <f>COUNTIF($A$2:A568,A568)&gt;1</f>
        <v>0</v>
      </c>
      <c r="P568" t="b">
        <f t="shared" si="16"/>
        <v>1</v>
      </c>
      <c r="Q568" t="b">
        <f t="shared" si="17"/>
        <v>1</v>
      </c>
    </row>
    <row r="569" spans="1:17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  <c r="O569" t="b">
        <f>COUNTIF($A$2:A569,A569)&gt;1</f>
        <v>0</v>
      </c>
      <c r="P569" t="b">
        <f t="shared" si="16"/>
        <v>1</v>
      </c>
      <c r="Q569" t="b">
        <f t="shared" si="17"/>
        <v>1</v>
      </c>
    </row>
    <row r="570" spans="1:17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  <c r="O570" t="b">
        <f>COUNTIF($A$2:A570,A570)&gt;1</f>
        <v>0</v>
      </c>
      <c r="P570" t="b">
        <f t="shared" si="16"/>
        <v>1</v>
      </c>
      <c r="Q570" t="b">
        <f t="shared" si="17"/>
        <v>1</v>
      </c>
    </row>
    <row r="571" spans="1:17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  <c r="O571" t="b">
        <f>COUNTIF($A$2:A571,A571)&gt;1</f>
        <v>0</v>
      </c>
      <c r="P571" t="b">
        <f t="shared" si="16"/>
        <v>1</v>
      </c>
      <c r="Q571" t="b">
        <f t="shared" si="17"/>
        <v>1</v>
      </c>
    </row>
    <row r="572" spans="1:17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  <c r="O572" t="b">
        <f>COUNTIF($A$2:A572,A572)&gt;1</f>
        <v>0</v>
      </c>
      <c r="P572" t="b">
        <f t="shared" si="16"/>
        <v>1</v>
      </c>
      <c r="Q572" t="b">
        <f t="shared" si="17"/>
        <v>1</v>
      </c>
    </row>
    <row r="573" spans="1:17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  <c r="O573" t="b">
        <f>COUNTIF($A$2:A573,A573)&gt;1</f>
        <v>0</v>
      </c>
      <c r="P573" t="b">
        <f t="shared" si="16"/>
        <v>1</v>
      </c>
      <c r="Q573" t="b">
        <f t="shared" si="17"/>
        <v>1</v>
      </c>
    </row>
    <row r="574" spans="1:17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  <c r="O574" t="b">
        <f>COUNTIF($A$2:A574,A574)&gt;1</f>
        <v>0</v>
      </c>
      <c r="P574" t="b">
        <f t="shared" si="16"/>
        <v>1</v>
      </c>
      <c r="Q574" t="b">
        <f t="shared" si="17"/>
        <v>1</v>
      </c>
    </row>
    <row r="575" spans="1:17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  <c r="O575" t="b">
        <f>COUNTIF($A$2:A575,A575)&gt;1</f>
        <v>0</v>
      </c>
      <c r="P575" t="b">
        <f t="shared" si="16"/>
        <v>1</v>
      </c>
      <c r="Q575" t="b">
        <f t="shared" si="17"/>
        <v>1</v>
      </c>
    </row>
    <row r="576" spans="1:17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  <c r="O576" t="b">
        <f>COUNTIF($A$2:A576,A576)&gt;1</f>
        <v>0</v>
      </c>
      <c r="P576" t="b">
        <f t="shared" si="16"/>
        <v>1</v>
      </c>
      <c r="Q576" t="b">
        <f t="shared" si="17"/>
        <v>1</v>
      </c>
    </row>
    <row r="577" spans="1:17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  <c r="O577" t="b">
        <f>COUNTIF($A$2:A577,A577)&gt;1</f>
        <v>0</v>
      </c>
      <c r="P577" t="b">
        <f t="shared" si="16"/>
        <v>1</v>
      </c>
      <c r="Q577" t="b">
        <f t="shared" si="17"/>
        <v>1</v>
      </c>
    </row>
    <row r="578" spans="1:17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  <c r="O578" t="b">
        <f>COUNTIF($A$2:A578,A578)&gt;1</f>
        <v>0</v>
      </c>
      <c r="P578" t="b">
        <f t="shared" ref="P578:P641" si="18">TRIM(H578)=H578</f>
        <v>1</v>
      </c>
      <c r="Q578" t="b">
        <f t="shared" ref="Q578:Q641" si="19">ROUND(E578*F578,2)=ROUND(N578,2)</f>
        <v>1</v>
      </c>
    </row>
    <row r="579" spans="1:17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  <c r="O579" t="b">
        <f>COUNTIF($A$2:A579,A579)&gt;1</f>
        <v>0</v>
      </c>
      <c r="P579" t="b">
        <f t="shared" si="18"/>
        <v>1</v>
      </c>
      <c r="Q579" t="b">
        <f t="shared" si="19"/>
        <v>1</v>
      </c>
    </row>
    <row r="580" spans="1:17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  <c r="O580" t="b">
        <f>COUNTIF($A$2:A580,A580)&gt;1</f>
        <v>0</v>
      </c>
      <c r="P580" t="b">
        <f t="shared" si="18"/>
        <v>1</v>
      </c>
      <c r="Q580" t="b">
        <f t="shared" si="19"/>
        <v>1</v>
      </c>
    </row>
    <row r="581" spans="1:17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  <c r="O581" t="b">
        <f>COUNTIF($A$2:A581,A581)&gt;1</f>
        <v>0</v>
      </c>
      <c r="P581" t="b">
        <f t="shared" si="18"/>
        <v>1</v>
      </c>
      <c r="Q581" t="b">
        <f t="shared" si="19"/>
        <v>1</v>
      </c>
    </row>
    <row r="582" spans="1:17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  <c r="O582" t="b">
        <f>COUNTIF($A$2:A582,A582)&gt;1</f>
        <v>0</v>
      </c>
      <c r="P582" t="b">
        <f t="shared" si="18"/>
        <v>1</v>
      </c>
      <c r="Q582" t="b">
        <f t="shared" si="19"/>
        <v>1</v>
      </c>
    </row>
    <row r="583" spans="1:17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  <c r="O583" t="b">
        <f>COUNTIF($A$2:A583,A583)&gt;1</f>
        <v>0</v>
      </c>
      <c r="P583" t="b">
        <f t="shared" si="18"/>
        <v>1</v>
      </c>
      <c r="Q583" t="b">
        <f t="shared" si="19"/>
        <v>1</v>
      </c>
    </row>
    <row r="584" spans="1:17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  <c r="O584" t="b">
        <f>COUNTIF($A$2:A584,A584)&gt;1</f>
        <v>0</v>
      </c>
      <c r="P584" t="b">
        <f t="shared" si="18"/>
        <v>1</v>
      </c>
      <c r="Q584" t="b">
        <f t="shared" si="19"/>
        <v>1</v>
      </c>
    </row>
    <row r="585" spans="1:17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  <c r="O585" t="b">
        <f>COUNTIF($A$2:A585,A585)&gt;1</f>
        <v>0</v>
      </c>
      <c r="P585" t="b">
        <f t="shared" si="18"/>
        <v>1</v>
      </c>
      <c r="Q585" t="b">
        <f t="shared" si="19"/>
        <v>1</v>
      </c>
    </row>
    <row r="586" spans="1:17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  <c r="O586" t="b">
        <f>COUNTIF($A$2:A586,A586)&gt;1</f>
        <v>0</v>
      </c>
      <c r="P586" t="b">
        <f t="shared" si="18"/>
        <v>1</v>
      </c>
      <c r="Q586" t="b">
        <f t="shared" si="19"/>
        <v>1</v>
      </c>
    </row>
    <row r="587" spans="1:17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  <c r="O587" t="b">
        <f>COUNTIF($A$2:A587,A587)&gt;1</f>
        <v>0</v>
      </c>
      <c r="P587" t="b">
        <f t="shared" si="18"/>
        <v>1</v>
      </c>
      <c r="Q587" t="b">
        <f t="shared" si="19"/>
        <v>1</v>
      </c>
    </row>
    <row r="588" spans="1:17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  <c r="O588" t="b">
        <f>COUNTIF($A$2:A588,A588)&gt;1</f>
        <v>0</v>
      </c>
      <c r="P588" t="b">
        <f t="shared" si="18"/>
        <v>1</v>
      </c>
      <c r="Q588" t="b">
        <f t="shared" si="19"/>
        <v>1</v>
      </c>
    </row>
    <row r="589" spans="1:17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  <c r="O589" t="b">
        <f>COUNTIF($A$2:A589,A589)&gt;1</f>
        <v>0</v>
      </c>
      <c r="P589" t="b">
        <f t="shared" si="18"/>
        <v>1</v>
      </c>
      <c r="Q589" t="b">
        <f t="shared" si="19"/>
        <v>1</v>
      </c>
    </row>
    <row r="590" spans="1:17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  <c r="O590" t="b">
        <f>COUNTIF($A$2:A590,A590)&gt;1</f>
        <v>0</v>
      </c>
      <c r="P590" t="b">
        <f t="shared" si="18"/>
        <v>1</v>
      </c>
      <c r="Q590" t="b">
        <f t="shared" si="19"/>
        <v>1</v>
      </c>
    </row>
    <row r="591" spans="1:17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  <c r="O591" t="b">
        <f>COUNTIF($A$2:A591,A591)&gt;1</f>
        <v>0</v>
      </c>
      <c r="P591" t="b">
        <f t="shared" si="18"/>
        <v>1</v>
      </c>
      <c r="Q591" t="b">
        <f t="shared" si="19"/>
        <v>1</v>
      </c>
    </row>
    <row r="592" spans="1:17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  <c r="O592" t="b">
        <f>COUNTIF($A$2:A592,A592)&gt;1</f>
        <v>0</v>
      </c>
      <c r="P592" t="b">
        <f t="shared" si="18"/>
        <v>1</v>
      </c>
      <c r="Q592" t="b">
        <f t="shared" si="19"/>
        <v>1</v>
      </c>
    </row>
    <row r="593" spans="1:17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  <c r="O593" t="b">
        <f>COUNTIF($A$2:A593,A593)&gt;1</f>
        <v>0</v>
      </c>
      <c r="P593" t="b">
        <f t="shared" si="18"/>
        <v>1</v>
      </c>
      <c r="Q593" t="b">
        <f t="shared" si="19"/>
        <v>1</v>
      </c>
    </row>
    <row r="594" spans="1:17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612.81000000000006</v>
      </c>
      <c r="O594" t="b">
        <f>COUNTIF($A$2:A594,A594)&gt;1</f>
        <v>0</v>
      </c>
      <c r="P594" t="b">
        <f t="shared" si="18"/>
        <v>1</v>
      </c>
      <c r="Q594" t="b">
        <f t="shared" si="19"/>
        <v>1</v>
      </c>
    </row>
    <row r="595" spans="1:17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  <c r="O595" t="b">
        <f>COUNTIF($A$2:A595,A595)&gt;1</f>
        <v>0</v>
      </c>
      <c r="P595" t="b">
        <f t="shared" si="18"/>
        <v>1</v>
      </c>
      <c r="Q595" t="b">
        <f t="shared" si="19"/>
        <v>1</v>
      </c>
    </row>
    <row r="596" spans="1:17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  <c r="O596" t="b">
        <f>COUNTIF($A$2:A596,A596)&gt;1</f>
        <v>0</v>
      </c>
      <c r="P596" t="b">
        <f t="shared" si="18"/>
        <v>1</v>
      </c>
      <c r="Q596" t="b">
        <f t="shared" si="19"/>
        <v>1</v>
      </c>
    </row>
    <row r="597" spans="1:17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  <c r="O597" t="b">
        <f>COUNTIF($A$2:A597,A597)&gt;1</f>
        <v>0</v>
      </c>
      <c r="P597" t="b">
        <f t="shared" si="18"/>
        <v>1</v>
      </c>
      <c r="Q597" t="b">
        <f t="shared" si="19"/>
        <v>1</v>
      </c>
    </row>
    <row r="598" spans="1:17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  <c r="O598" t="b">
        <f>COUNTIF($A$2:A598,A598)&gt;1</f>
        <v>0</v>
      </c>
      <c r="P598" t="b">
        <f t="shared" si="18"/>
        <v>1</v>
      </c>
      <c r="Q598" t="b">
        <f t="shared" si="19"/>
        <v>1</v>
      </c>
    </row>
    <row r="599" spans="1:17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  <c r="O599" t="b">
        <f>COUNTIF($A$2:A599,A599)&gt;1</f>
        <v>0</v>
      </c>
      <c r="P599" t="b">
        <f t="shared" si="18"/>
        <v>1</v>
      </c>
      <c r="Q599" t="b">
        <f t="shared" si="19"/>
        <v>1</v>
      </c>
    </row>
    <row r="600" spans="1:17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  <c r="O600" t="b">
        <f>COUNTIF($A$2:A600,A600)&gt;1</f>
        <v>0</v>
      </c>
      <c r="P600" t="b">
        <f t="shared" si="18"/>
        <v>1</v>
      </c>
      <c r="Q600" t="b">
        <f t="shared" si="19"/>
        <v>1</v>
      </c>
    </row>
    <row r="601" spans="1:17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  <c r="O601" t="b">
        <f>COUNTIF($A$2:A601,A601)&gt;1</f>
        <v>0</v>
      </c>
      <c r="P601" t="b">
        <f t="shared" si="18"/>
        <v>1</v>
      </c>
      <c r="Q601" t="b">
        <f t="shared" si="19"/>
        <v>1</v>
      </c>
    </row>
    <row r="602" spans="1:17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  <c r="O602" t="b">
        <f>COUNTIF($A$2:A602,A602)&gt;1</f>
        <v>0</v>
      </c>
      <c r="P602" t="b">
        <f t="shared" si="18"/>
        <v>1</v>
      </c>
      <c r="Q602" t="b">
        <f t="shared" si="19"/>
        <v>1</v>
      </c>
    </row>
    <row r="603" spans="1:17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  <c r="O603" t="b">
        <f>COUNTIF($A$2:A603,A603)&gt;1</f>
        <v>0</v>
      </c>
      <c r="P603" t="b">
        <f t="shared" si="18"/>
        <v>1</v>
      </c>
      <c r="Q603" t="b">
        <f t="shared" si="19"/>
        <v>1</v>
      </c>
    </row>
    <row r="604" spans="1:17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  <c r="O604" t="b">
        <f>COUNTIF($A$2:A604,A604)&gt;1</f>
        <v>0</v>
      </c>
      <c r="P604" t="b">
        <f t="shared" si="18"/>
        <v>1</v>
      </c>
      <c r="Q604" t="b">
        <f t="shared" si="19"/>
        <v>1</v>
      </c>
    </row>
    <row r="605" spans="1:17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  <c r="O605" t="b">
        <f>COUNTIF($A$2:A605,A605)&gt;1</f>
        <v>0</v>
      </c>
      <c r="P605" t="b">
        <f t="shared" si="18"/>
        <v>1</v>
      </c>
      <c r="Q605" t="b">
        <f t="shared" si="19"/>
        <v>1</v>
      </c>
    </row>
    <row r="606" spans="1:17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97.859999999999985</v>
      </c>
      <c r="O606" t="b">
        <f>COUNTIF($A$2:A606,A606)&gt;1</f>
        <v>0</v>
      </c>
      <c r="P606" t="b">
        <f t="shared" si="18"/>
        <v>1</v>
      </c>
      <c r="Q606" t="b">
        <f t="shared" si="19"/>
        <v>1</v>
      </c>
    </row>
    <row r="607" spans="1:17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  <c r="O607" t="b">
        <f>COUNTIF($A$2:A607,A607)&gt;1</f>
        <v>0</v>
      </c>
      <c r="P607" t="b">
        <f t="shared" si="18"/>
        <v>1</v>
      </c>
      <c r="Q607" t="b">
        <f t="shared" si="19"/>
        <v>1</v>
      </c>
    </row>
    <row r="608" spans="1:17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  <c r="O608" t="b">
        <f>COUNTIF($A$2:A608,A608)&gt;1</f>
        <v>0</v>
      </c>
      <c r="P608" t="b">
        <f t="shared" si="18"/>
        <v>1</v>
      </c>
      <c r="Q608" t="b">
        <f t="shared" si="19"/>
        <v>1</v>
      </c>
    </row>
    <row r="609" spans="1:17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  <c r="O609" t="b">
        <f>COUNTIF($A$2:A609,A609)&gt;1</f>
        <v>0</v>
      </c>
      <c r="P609" t="b">
        <f t="shared" si="18"/>
        <v>1</v>
      </c>
      <c r="Q609" t="b">
        <f t="shared" si="19"/>
        <v>1</v>
      </c>
    </row>
    <row r="610" spans="1:17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  <c r="O610" t="b">
        <f>COUNTIF($A$2:A610,A610)&gt;1</f>
        <v>0</v>
      </c>
      <c r="P610" t="b">
        <f t="shared" si="18"/>
        <v>1</v>
      </c>
      <c r="Q610" t="b">
        <f t="shared" si="19"/>
        <v>1</v>
      </c>
    </row>
    <row r="611" spans="1:17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  <c r="O611" t="b">
        <f>COUNTIF($A$2:A611,A611)&gt;1</f>
        <v>0</v>
      </c>
      <c r="P611" t="b">
        <f t="shared" si="18"/>
        <v>1</v>
      </c>
      <c r="Q611" t="b">
        <f t="shared" si="19"/>
        <v>1</v>
      </c>
    </row>
    <row r="612" spans="1:17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  <c r="O612" t="b">
        <f>COUNTIF($A$2:A612,A612)&gt;1</f>
        <v>0</v>
      </c>
      <c r="P612" t="b">
        <f t="shared" si="18"/>
        <v>1</v>
      </c>
      <c r="Q612" t="b">
        <f t="shared" si="19"/>
        <v>1</v>
      </c>
    </row>
    <row r="613" spans="1:17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  <c r="O613" t="b">
        <f>COUNTIF($A$2:A613,A613)&gt;1</f>
        <v>0</v>
      </c>
      <c r="P613" t="b">
        <f t="shared" si="18"/>
        <v>1</v>
      </c>
      <c r="Q613" t="b">
        <f t="shared" si="19"/>
        <v>1</v>
      </c>
    </row>
    <row r="614" spans="1:17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  <c r="O614" t="b">
        <f>COUNTIF($A$2:A614,A614)&gt;1</f>
        <v>0</v>
      </c>
      <c r="P614" t="b">
        <f t="shared" si="18"/>
        <v>1</v>
      </c>
      <c r="Q614" t="b">
        <f t="shared" si="19"/>
        <v>1</v>
      </c>
    </row>
    <row r="615" spans="1:17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  <c r="O615" t="b">
        <f>COUNTIF($A$2:A615,A615)&gt;1</f>
        <v>0</v>
      </c>
      <c r="P615" t="b">
        <f t="shared" si="18"/>
        <v>1</v>
      </c>
      <c r="Q615" t="b">
        <f t="shared" si="19"/>
        <v>1</v>
      </c>
    </row>
    <row r="616" spans="1:17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  <c r="O616" t="b">
        <f>COUNTIF($A$2:A616,A616)&gt;1</f>
        <v>0</v>
      </c>
      <c r="P616" t="b">
        <f t="shared" si="18"/>
        <v>1</v>
      </c>
      <c r="Q616" t="b">
        <f t="shared" si="19"/>
        <v>1</v>
      </c>
    </row>
    <row r="617" spans="1:17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  <c r="O617" t="b">
        <f>COUNTIF($A$2:A617,A617)&gt;1</f>
        <v>0</v>
      </c>
      <c r="P617" t="b">
        <f t="shared" si="18"/>
        <v>1</v>
      </c>
      <c r="Q617" t="b">
        <f t="shared" si="19"/>
        <v>1</v>
      </c>
    </row>
    <row r="618" spans="1:17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  <c r="O618" t="b">
        <f>COUNTIF($A$2:A618,A618)&gt;1</f>
        <v>0</v>
      </c>
      <c r="P618" t="b">
        <f t="shared" si="18"/>
        <v>1</v>
      </c>
      <c r="Q618" t="b">
        <f t="shared" si="19"/>
        <v>1</v>
      </c>
    </row>
    <row r="619" spans="1:17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  <c r="O619" t="b">
        <f>COUNTIF($A$2:A619,A619)&gt;1</f>
        <v>0</v>
      </c>
      <c r="P619" t="b">
        <f t="shared" si="18"/>
        <v>1</v>
      </c>
      <c r="Q619" t="b">
        <f t="shared" si="19"/>
        <v>1</v>
      </c>
    </row>
    <row r="620" spans="1:17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  <c r="O620" t="b">
        <f>COUNTIF($A$2:A620,A620)&gt;1</f>
        <v>0</v>
      </c>
      <c r="P620" t="b">
        <f t="shared" si="18"/>
        <v>1</v>
      </c>
      <c r="Q620" t="b">
        <f t="shared" si="19"/>
        <v>1</v>
      </c>
    </row>
    <row r="621" spans="1:17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  <c r="O621" t="b">
        <f>COUNTIF($A$2:A621,A621)&gt;1</f>
        <v>0</v>
      </c>
      <c r="P621" t="b">
        <f t="shared" si="18"/>
        <v>1</v>
      </c>
      <c r="Q621" t="b">
        <f t="shared" si="19"/>
        <v>1</v>
      </c>
    </row>
    <row r="622" spans="1:17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  <c r="O622" t="b">
        <f>COUNTIF($A$2:A622,A622)&gt;1</f>
        <v>0</v>
      </c>
      <c r="P622" t="b">
        <f t="shared" si="18"/>
        <v>1</v>
      </c>
      <c r="Q622" t="b">
        <f t="shared" si="19"/>
        <v>1</v>
      </c>
    </row>
    <row r="623" spans="1:17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  <c r="O623" t="b">
        <f>COUNTIF($A$2:A623,A623)&gt;1</f>
        <v>0</v>
      </c>
      <c r="P623" t="b">
        <f t="shared" si="18"/>
        <v>1</v>
      </c>
      <c r="Q623" t="b">
        <f t="shared" si="19"/>
        <v>1</v>
      </c>
    </row>
    <row r="624" spans="1:17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  <c r="O624" t="b">
        <f>COUNTIF($A$2:A624,A624)&gt;1</f>
        <v>0</v>
      </c>
      <c r="P624" t="b">
        <f t="shared" si="18"/>
        <v>1</v>
      </c>
      <c r="Q624" t="b">
        <f t="shared" si="19"/>
        <v>1</v>
      </c>
    </row>
    <row r="625" spans="1:17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  <c r="O625" t="b">
        <f>COUNTIF($A$2:A625,A625)&gt;1</f>
        <v>0</v>
      </c>
      <c r="P625" t="b">
        <f t="shared" si="18"/>
        <v>1</v>
      </c>
      <c r="Q625" t="b">
        <f t="shared" si="19"/>
        <v>1</v>
      </c>
    </row>
    <row r="626" spans="1:17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  <c r="O626" t="b">
        <f>COUNTIF($A$2:A626,A626)&gt;1</f>
        <v>0</v>
      </c>
      <c r="P626" t="b">
        <f t="shared" si="18"/>
        <v>1</v>
      </c>
      <c r="Q626" t="b">
        <f t="shared" si="19"/>
        <v>1</v>
      </c>
    </row>
    <row r="627" spans="1:17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  <c r="O627" t="b">
        <f>COUNTIF($A$2:A627,A627)&gt;1</f>
        <v>0</v>
      </c>
      <c r="P627" t="b">
        <f t="shared" si="18"/>
        <v>1</v>
      </c>
      <c r="Q627" t="b">
        <f t="shared" si="19"/>
        <v>1</v>
      </c>
    </row>
    <row r="628" spans="1:17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  <c r="O628" t="b">
        <f>COUNTIF($A$2:A628,A628)&gt;1</f>
        <v>0</v>
      </c>
      <c r="P628" t="b">
        <f t="shared" si="18"/>
        <v>1</v>
      </c>
      <c r="Q628" t="b">
        <f t="shared" si="19"/>
        <v>1</v>
      </c>
    </row>
    <row r="629" spans="1:17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  <c r="O629" t="b">
        <f>COUNTIF($A$2:A629,A629)&gt;1</f>
        <v>0</v>
      </c>
      <c r="P629" t="b">
        <f t="shared" si="18"/>
        <v>1</v>
      </c>
      <c r="Q629" t="b">
        <f t="shared" si="19"/>
        <v>1</v>
      </c>
    </row>
    <row r="630" spans="1:17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  <c r="O630" t="b">
        <f>COUNTIF($A$2:A630,A630)&gt;1</f>
        <v>0</v>
      </c>
      <c r="P630" t="b">
        <f t="shared" si="18"/>
        <v>1</v>
      </c>
      <c r="Q630" t="b">
        <f t="shared" si="19"/>
        <v>1</v>
      </c>
    </row>
    <row r="631" spans="1:17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  <c r="O631" t="b">
        <f>COUNTIF($A$2:A631,A631)&gt;1</f>
        <v>0</v>
      </c>
      <c r="P631" t="b">
        <f t="shared" si="18"/>
        <v>1</v>
      </c>
      <c r="Q631" t="b">
        <f t="shared" si="19"/>
        <v>1</v>
      </c>
    </row>
    <row r="632" spans="1:17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  <c r="O632" t="b">
        <f>COUNTIF($A$2:A632,A632)&gt;1</f>
        <v>0</v>
      </c>
      <c r="P632" t="b">
        <f t="shared" si="18"/>
        <v>1</v>
      </c>
      <c r="Q632" t="b">
        <f t="shared" si="19"/>
        <v>1</v>
      </c>
    </row>
    <row r="633" spans="1:17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  <c r="O633" t="b">
        <f>COUNTIF($A$2:A633,A633)&gt;1</f>
        <v>0</v>
      </c>
      <c r="P633" t="b">
        <f t="shared" si="18"/>
        <v>1</v>
      </c>
      <c r="Q633" t="b">
        <f t="shared" si="19"/>
        <v>1</v>
      </c>
    </row>
    <row r="634" spans="1:17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  <c r="O634" t="b">
        <f>COUNTIF($A$2:A634,A634)&gt;1</f>
        <v>0</v>
      </c>
      <c r="P634" t="b">
        <f t="shared" si="18"/>
        <v>1</v>
      </c>
      <c r="Q634" t="b">
        <f t="shared" si="19"/>
        <v>1</v>
      </c>
    </row>
    <row r="635" spans="1:17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  <c r="O635" t="b">
        <f>COUNTIF($A$2:A635,A635)&gt;1</f>
        <v>0</v>
      </c>
      <c r="P635" t="b">
        <f t="shared" si="18"/>
        <v>1</v>
      </c>
      <c r="Q635" t="b">
        <f t="shared" si="19"/>
        <v>1</v>
      </c>
    </row>
    <row r="636" spans="1:17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  <c r="O636" t="b">
        <f>COUNTIF($A$2:A636,A636)&gt;1</f>
        <v>0</v>
      </c>
      <c r="P636" t="b">
        <f t="shared" si="18"/>
        <v>1</v>
      </c>
      <c r="Q636" t="b">
        <f t="shared" si="19"/>
        <v>1</v>
      </c>
    </row>
    <row r="637" spans="1:17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  <c r="O637" t="b">
        <f>COUNTIF($A$2:A637,A637)&gt;1</f>
        <v>0</v>
      </c>
      <c r="P637" t="b">
        <f t="shared" si="18"/>
        <v>1</v>
      </c>
      <c r="Q637" t="b">
        <f t="shared" si="19"/>
        <v>1</v>
      </c>
    </row>
    <row r="638" spans="1:17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  <c r="O638" t="b">
        <f>COUNTIF($A$2:A638,A638)&gt;1</f>
        <v>0</v>
      </c>
      <c r="P638" t="b">
        <f t="shared" si="18"/>
        <v>1</v>
      </c>
      <c r="Q638" t="b">
        <f t="shared" si="19"/>
        <v>1</v>
      </c>
    </row>
    <row r="639" spans="1:17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  <c r="O639" t="b">
        <f>COUNTIF($A$2:A639,A639)&gt;1</f>
        <v>0</v>
      </c>
      <c r="P639" t="b">
        <f t="shared" si="18"/>
        <v>1</v>
      </c>
      <c r="Q639" t="b">
        <f t="shared" si="19"/>
        <v>1</v>
      </c>
    </row>
    <row r="640" spans="1:17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  <c r="O640" t="b">
        <f>COUNTIF($A$2:A640,A640)&gt;1</f>
        <v>0</v>
      </c>
      <c r="P640" t="b">
        <f t="shared" si="18"/>
        <v>1</v>
      </c>
      <c r="Q640" t="b">
        <f t="shared" si="19"/>
        <v>1</v>
      </c>
    </row>
    <row r="641" spans="1:17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  <c r="O641" t="b">
        <f>COUNTIF($A$2:A641,A641)&gt;1</f>
        <v>0</v>
      </c>
      <c r="P641" t="b">
        <f t="shared" si="18"/>
        <v>1</v>
      </c>
      <c r="Q641" t="b">
        <f t="shared" si="19"/>
        <v>1</v>
      </c>
    </row>
    <row r="642" spans="1:17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  <c r="O642" t="b">
        <f>COUNTIF($A$2:A642,A642)&gt;1</f>
        <v>0</v>
      </c>
      <c r="P642" t="b">
        <f t="shared" ref="P642:P705" si="20">TRIM(H642)=H642</f>
        <v>1</v>
      </c>
      <c r="Q642" t="b">
        <f t="shared" ref="Q642:Q705" si="21">ROUND(E642*F642,2)=ROUND(N642,2)</f>
        <v>1</v>
      </c>
    </row>
    <row r="643" spans="1:17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  <c r="O643" t="b">
        <f>COUNTIF($A$2:A643,A643)&gt;1</f>
        <v>0</v>
      </c>
      <c r="P643" t="b">
        <f t="shared" si="20"/>
        <v>1</v>
      </c>
      <c r="Q643" t="b">
        <f t="shared" si="21"/>
        <v>1</v>
      </c>
    </row>
    <row r="644" spans="1:17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  <c r="O644" t="b">
        <f>COUNTIF($A$2:A644,A644)&gt;1</f>
        <v>0</v>
      </c>
      <c r="P644" t="b">
        <f t="shared" si="20"/>
        <v>1</v>
      </c>
      <c r="Q644" t="b">
        <f t="shared" si="21"/>
        <v>1</v>
      </c>
    </row>
    <row r="645" spans="1:17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  <c r="O645" t="b">
        <f>COUNTIF($A$2:A645,A645)&gt;1</f>
        <v>0</v>
      </c>
      <c r="P645" t="b">
        <f t="shared" si="20"/>
        <v>1</v>
      </c>
      <c r="Q645" t="b">
        <f t="shared" si="21"/>
        <v>1</v>
      </c>
    </row>
    <row r="646" spans="1:17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  <c r="O646" t="b">
        <f>COUNTIF($A$2:A646,A646)&gt;1</f>
        <v>0</v>
      </c>
      <c r="P646" t="b">
        <f t="shared" si="20"/>
        <v>1</v>
      </c>
      <c r="Q646" t="b">
        <f t="shared" si="21"/>
        <v>1</v>
      </c>
    </row>
    <row r="647" spans="1:17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  <c r="O647" t="b">
        <f>COUNTIF($A$2:A647,A647)&gt;1</f>
        <v>0</v>
      </c>
      <c r="P647" t="b">
        <f t="shared" si="20"/>
        <v>1</v>
      </c>
      <c r="Q647" t="b">
        <f t="shared" si="21"/>
        <v>1</v>
      </c>
    </row>
    <row r="648" spans="1:17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  <c r="O648" t="b">
        <f>COUNTIF($A$2:A648,A648)&gt;1</f>
        <v>0</v>
      </c>
      <c r="P648" t="b">
        <f t="shared" si="20"/>
        <v>1</v>
      </c>
      <c r="Q648" t="b">
        <f t="shared" si="21"/>
        <v>1</v>
      </c>
    </row>
    <row r="649" spans="1:17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  <c r="O649" t="b">
        <f>COUNTIF($A$2:A649,A649)&gt;1</f>
        <v>0</v>
      </c>
      <c r="P649" t="b">
        <f t="shared" si="20"/>
        <v>1</v>
      </c>
      <c r="Q649" t="b">
        <f t="shared" si="21"/>
        <v>1</v>
      </c>
    </row>
    <row r="650" spans="1:17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  <c r="O650" t="b">
        <f>COUNTIF($A$2:A650,A650)&gt;1</f>
        <v>0</v>
      </c>
      <c r="P650" t="b">
        <f t="shared" si="20"/>
        <v>1</v>
      </c>
      <c r="Q650" t="b">
        <f t="shared" si="21"/>
        <v>1</v>
      </c>
    </row>
    <row r="651" spans="1:17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  <c r="O651" t="b">
        <f>COUNTIF($A$2:A651,A651)&gt;1</f>
        <v>0</v>
      </c>
      <c r="P651" t="b">
        <f t="shared" si="20"/>
        <v>1</v>
      </c>
      <c r="Q651" t="b">
        <f t="shared" si="21"/>
        <v>1</v>
      </c>
    </row>
    <row r="652" spans="1:17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  <c r="O652" t="b">
        <f>COUNTIF($A$2:A652,A652)&gt;1</f>
        <v>0</v>
      </c>
      <c r="P652" t="b">
        <f t="shared" si="20"/>
        <v>1</v>
      </c>
      <c r="Q652" t="b">
        <f t="shared" si="21"/>
        <v>1</v>
      </c>
    </row>
    <row r="653" spans="1:17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  <c r="O653" t="b">
        <f>COUNTIF($A$2:A653,A653)&gt;1</f>
        <v>0</v>
      </c>
      <c r="P653" t="b">
        <f t="shared" si="20"/>
        <v>1</v>
      </c>
      <c r="Q653" t="b">
        <f t="shared" si="21"/>
        <v>1</v>
      </c>
    </row>
    <row r="654" spans="1:17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  <c r="O654" t="b">
        <f>COUNTIF($A$2:A654,A654)&gt;1</f>
        <v>0</v>
      </c>
      <c r="P654" t="b">
        <f t="shared" si="20"/>
        <v>1</v>
      </c>
      <c r="Q654" t="b">
        <f t="shared" si="21"/>
        <v>1</v>
      </c>
    </row>
    <row r="655" spans="1:17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  <c r="O655" t="b">
        <f>COUNTIF($A$2:A655,A655)&gt;1</f>
        <v>0</v>
      </c>
      <c r="P655" t="b">
        <f t="shared" si="20"/>
        <v>1</v>
      </c>
      <c r="Q655" t="b">
        <f t="shared" si="21"/>
        <v>1</v>
      </c>
    </row>
    <row r="656" spans="1:17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  <c r="O656" t="b">
        <f>COUNTIF($A$2:A656,A656)&gt;1</f>
        <v>0</v>
      </c>
      <c r="P656" t="b">
        <f t="shared" si="20"/>
        <v>1</v>
      </c>
      <c r="Q656" t="b">
        <f t="shared" si="21"/>
        <v>1</v>
      </c>
    </row>
    <row r="657" spans="1:17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  <c r="O657" t="b">
        <f>COUNTIF($A$2:A657,A657)&gt;1</f>
        <v>0</v>
      </c>
      <c r="P657" t="b">
        <f t="shared" si="20"/>
        <v>1</v>
      </c>
      <c r="Q657" t="b">
        <f t="shared" si="21"/>
        <v>1</v>
      </c>
    </row>
    <row r="658" spans="1:17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  <c r="O658" t="b">
        <f>COUNTIF($A$2:A658,A658)&gt;1</f>
        <v>0</v>
      </c>
      <c r="P658" t="b">
        <f t="shared" si="20"/>
        <v>1</v>
      </c>
      <c r="Q658" t="b">
        <f t="shared" si="21"/>
        <v>1</v>
      </c>
    </row>
    <row r="659" spans="1:17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  <c r="O659" t="b">
        <f>COUNTIF($A$2:A659,A659)&gt;1</f>
        <v>0</v>
      </c>
      <c r="P659" t="b">
        <f t="shared" si="20"/>
        <v>1</v>
      </c>
      <c r="Q659" t="b">
        <f t="shared" si="21"/>
        <v>1</v>
      </c>
    </row>
    <row r="660" spans="1:17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  <c r="O660" t="b">
        <f>COUNTIF($A$2:A660,A660)&gt;1</f>
        <v>0</v>
      </c>
      <c r="P660" t="b">
        <f t="shared" si="20"/>
        <v>1</v>
      </c>
      <c r="Q660" t="b">
        <f t="shared" si="21"/>
        <v>1</v>
      </c>
    </row>
    <row r="661" spans="1:17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  <c r="O661" t="b">
        <f>COUNTIF($A$2:A661,A661)&gt;1</f>
        <v>0</v>
      </c>
      <c r="P661" t="b">
        <f t="shared" si="20"/>
        <v>1</v>
      </c>
      <c r="Q661" t="b">
        <f t="shared" si="21"/>
        <v>1</v>
      </c>
    </row>
    <row r="662" spans="1:17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  <c r="O662" t="b">
        <f>COUNTIF($A$2:A662,A662)&gt;1</f>
        <v>0</v>
      </c>
      <c r="P662" t="b">
        <f t="shared" si="20"/>
        <v>1</v>
      </c>
      <c r="Q662" t="b">
        <f t="shared" si="21"/>
        <v>1</v>
      </c>
    </row>
    <row r="663" spans="1:17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  <c r="O663" t="b">
        <f>COUNTIF($A$2:A663,A663)&gt;1</f>
        <v>0</v>
      </c>
      <c r="P663" t="b">
        <f t="shared" si="20"/>
        <v>1</v>
      </c>
      <c r="Q663" t="b">
        <f t="shared" si="21"/>
        <v>1</v>
      </c>
    </row>
    <row r="664" spans="1:17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  <c r="O664" t="b">
        <f>COUNTIF($A$2:A664,A664)&gt;1</f>
        <v>0</v>
      </c>
      <c r="P664" t="b">
        <f t="shared" si="20"/>
        <v>1</v>
      </c>
      <c r="Q664" t="b">
        <f t="shared" si="21"/>
        <v>1</v>
      </c>
    </row>
    <row r="665" spans="1:17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  <c r="O665" t="b">
        <f>COUNTIF($A$2:A665,A665)&gt;1</f>
        <v>0</v>
      </c>
      <c r="P665" t="b">
        <f t="shared" si="20"/>
        <v>1</v>
      </c>
      <c r="Q665" t="b">
        <f t="shared" si="21"/>
        <v>1</v>
      </c>
    </row>
    <row r="666" spans="1:17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  <c r="O666" t="b">
        <f>COUNTIF($A$2:A666,A666)&gt;1</f>
        <v>0</v>
      </c>
      <c r="P666" t="b">
        <f t="shared" si="20"/>
        <v>1</v>
      </c>
      <c r="Q666" t="b">
        <f t="shared" si="21"/>
        <v>1</v>
      </c>
    </row>
    <row r="667" spans="1:17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  <c r="O667" t="b">
        <f>COUNTIF($A$2:A667,A667)&gt;1</f>
        <v>0</v>
      </c>
      <c r="P667" t="b">
        <f t="shared" si="20"/>
        <v>1</v>
      </c>
      <c r="Q667" t="b">
        <f t="shared" si="21"/>
        <v>1</v>
      </c>
    </row>
    <row r="668" spans="1:17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  <c r="O668" t="b">
        <f>COUNTIF($A$2:A668,A668)&gt;1</f>
        <v>0</v>
      </c>
      <c r="P668" t="b">
        <f t="shared" si="20"/>
        <v>1</v>
      </c>
      <c r="Q668" t="b">
        <f t="shared" si="21"/>
        <v>1</v>
      </c>
    </row>
    <row r="669" spans="1:17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  <c r="O669" t="b">
        <f>COUNTIF($A$2:A669,A669)&gt;1</f>
        <v>0</v>
      </c>
      <c r="P669" t="b">
        <f t="shared" si="20"/>
        <v>1</v>
      </c>
      <c r="Q669" t="b">
        <f t="shared" si="21"/>
        <v>1</v>
      </c>
    </row>
    <row r="670" spans="1:17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  <c r="O670" t="b">
        <f>COUNTIF($A$2:A670,A670)&gt;1</f>
        <v>0</v>
      </c>
      <c r="P670" t="b">
        <f t="shared" si="20"/>
        <v>1</v>
      </c>
      <c r="Q670" t="b">
        <f t="shared" si="21"/>
        <v>1</v>
      </c>
    </row>
    <row r="671" spans="1:17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  <c r="O671" t="b">
        <f>COUNTIF($A$2:A671,A671)&gt;1</f>
        <v>0</v>
      </c>
      <c r="P671" t="b">
        <f t="shared" si="20"/>
        <v>1</v>
      </c>
      <c r="Q671" t="b">
        <f t="shared" si="21"/>
        <v>1</v>
      </c>
    </row>
    <row r="672" spans="1:17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  <c r="O672" t="b">
        <f>COUNTIF($A$2:A672,A672)&gt;1</f>
        <v>0</v>
      </c>
      <c r="P672" t="b">
        <f t="shared" si="20"/>
        <v>1</v>
      </c>
      <c r="Q672" t="b">
        <f t="shared" si="21"/>
        <v>1</v>
      </c>
    </row>
    <row r="673" spans="1:17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  <c r="O673" t="b">
        <f>COUNTIF($A$2:A673,A673)&gt;1</f>
        <v>0</v>
      </c>
      <c r="P673" t="b">
        <f t="shared" si="20"/>
        <v>1</v>
      </c>
      <c r="Q673" t="b">
        <f t="shared" si="21"/>
        <v>1</v>
      </c>
    </row>
    <row r="674" spans="1:17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  <c r="O674" t="b">
        <f>COUNTIF($A$2:A674,A674)&gt;1</f>
        <v>0</v>
      </c>
      <c r="P674" t="b">
        <f t="shared" si="20"/>
        <v>1</v>
      </c>
      <c r="Q674" t="b">
        <f t="shared" si="21"/>
        <v>1</v>
      </c>
    </row>
    <row r="675" spans="1:17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  <c r="O675" t="b">
        <f>COUNTIF($A$2:A675,A675)&gt;1</f>
        <v>0</v>
      </c>
      <c r="P675" t="b">
        <f t="shared" si="20"/>
        <v>1</v>
      </c>
      <c r="Q675" t="b">
        <f t="shared" si="21"/>
        <v>1</v>
      </c>
    </row>
    <row r="676" spans="1:17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  <c r="O676" t="b">
        <f>COUNTIF($A$2:A676,A676)&gt;1</f>
        <v>0</v>
      </c>
      <c r="P676" t="b">
        <f t="shared" si="20"/>
        <v>1</v>
      </c>
      <c r="Q676" t="b">
        <f t="shared" si="21"/>
        <v>1</v>
      </c>
    </row>
    <row r="677" spans="1:17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  <c r="O677" t="b">
        <f>COUNTIF($A$2:A677,A677)&gt;1</f>
        <v>0</v>
      </c>
      <c r="P677" t="b">
        <f t="shared" si="20"/>
        <v>1</v>
      </c>
      <c r="Q677" t="b">
        <f t="shared" si="21"/>
        <v>1</v>
      </c>
    </row>
    <row r="678" spans="1:17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  <c r="O678" t="b">
        <f>COUNTIF($A$2:A678,A678)&gt;1</f>
        <v>0</v>
      </c>
      <c r="P678" t="b">
        <f t="shared" si="20"/>
        <v>1</v>
      </c>
      <c r="Q678" t="b">
        <f t="shared" si="21"/>
        <v>1</v>
      </c>
    </row>
    <row r="679" spans="1:17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  <c r="O679" t="b">
        <f>COUNTIF($A$2:A679,A679)&gt;1</f>
        <v>0</v>
      </c>
      <c r="P679" t="b">
        <f t="shared" si="20"/>
        <v>1</v>
      </c>
      <c r="Q679" t="b">
        <f t="shared" si="21"/>
        <v>1</v>
      </c>
    </row>
    <row r="680" spans="1:17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  <c r="O680" t="b">
        <f>COUNTIF($A$2:A680,A680)&gt;1</f>
        <v>0</v>
      </c>
      <c r="P680" t="b">
        <f t="shared" si="20"/>
        <v>1</v>
      </c>
      <c r="Q680" t="b">
        <f t="shared" si="21"/>
        <v>1</v>
      </c>
    </row>
    <row r="681" spans="1:17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  <c r="O681" t="b">
        <f>COUNTIF($A$2:A681,A681)&gt;1</f>
        <v>0</v>
      </c>
      <c r="P681" t="b">
        <f t="shared" si="20"/>
        <v>1</v>
      </c>
      <c r="Q681" t="b">
        <f t="shared" si="21"/>
        <v>1</v>
      </c>
    </row>
    <row r="682" spans="1:17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  <c r="O682" t="b">
        <f>COUNTIF($A$2:A682,A682)&gt;1</f>
        <v>0</v>
      </c>
      <c r="P682" t="b">
        <f t="shared" si="20"/>
        <v>1</v>
      </c>
      <c r="Q682" t="b">
        <f t="shared" si="21"/>
        <v>1</v>
      </c>
    </row>
    <row r="683" spans="1:17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  <c r="O683" t="b">
        <f>COUNTIF($A$2:A683,A683)&gt;1</f>
        <v>0</v>
      </c>
      <c r="P683" t="b">
        <f t="shared" si="20"/>
        <v>1</v>
      </c>
      <c r="Q683" t="b">
        <f t="shared" si="21"/>
        <v>1</v>
      </c>
    </row>
    <row r="684" spans="1:17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  <c r="O684" t="b">
        <f>COUNTIF($A$2:A684,A684)&gt;1</f>
        <v>0</v>
      </c>
      <c r="P684" t="b">
        <f t="shared" si="20"/>
        <v>1</v>
      </c>
      <c r="Q684" t="b">
        <f t="shared" si="21"/>
        <v>1</v>
      </c>
    </row>
    <row r="685" spans="1:17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  <c r="O685" t="b">
        <f>COUNTIF($A$2:A685,A685)&gt;1</f>
        <v>0</v>
      </c>
      <c r="P685" t="b">
        <f t="shared" si="20"/>
        <v>1</v>
      </c>
      <c r="Q685" t="b">
        <f t="shared" si="21"/>
        <v>1</v>
      </c>
    </row>
    <row r="686" spans="1:17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  <c r="O686" t="b">
        <f>COUNTIF($A$2:A686,A686)&gt;1</f>
        <v>0</v>
      </c>
      <c r="P686" t="b">
        <f t="shared" si="20"/>
        <v>1</v>
      </c>
      <c r="Q686" t="b">
        <f t="shared" si="21"/>
        <v>1</v>
      </c>
    </row>
    <row r="687" spans="1:17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  <c r="O687" t="b">
        <f>COUNTIF($A$2:A687,A687)&gt;1</f>
        <v>0</v>
      </c>
      <c r="P687" t="b">
        <f t="shared" si="20"/>
        <v>1</v>
      </c>
      <c r="Q687" t="b">
        <f t="shared" si="21"/>
        <v>1</v>
      </c>
    </row>
    <row r="688" spans="1:17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  <c r="O688" t="b">
        <f>COUNTIF($A$2:A688,A688)&gt;1</f>
        <v>0</v>
      </c>
      <c r="P688" t="b">
        <f t="shared" si="20"/>
        <v>1</v>
      </c>
      <c r="Q688" t="b">
        <f t="shared" si="21"/>
        <v>1</v>
      </c>
    </row>
    <row r="689" spans="1:17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  <c r="O689" t="b">
        <f>COUNTIF($A$2:A689,A689)&gt;1</f>
        <v>0</v>
      </c>
      <c r="P689" t="b">
        <f t="shared" si="20"/>
        <v>1</v>
      </c>
      <c r="Q689" t="b">
        <f t="shared" si="21"/>
        <v>1</v>
      </c>
    </row>
    <row r="690" spans="1:17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  <c r="O690" t="b">
        <f>COUNTIF($A$2:A690,A690)&gt;1</f>
        <v>0</v>
      </c>
      <c r="P690" t="b">
        <f t="shared" si="20"/>
        <v>1</v>
      </c>
      <c r="Q690" t="b">
        <f t="shared" si="21"/>
        <v>1</v>
      </c>
    </row>
    <row r="691" spans="1:17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  <c r="O691" t="b">
        <f>COUNTIF($A$2:A691,A691)&gt;1</f>
        <v>0</v>
      </c>
      <c r="P691" t="b">
        <f t="shared" si="20"/>
        <v>1</v>
      </c>
      <c r="Q691" t="b">
        <f t="shared" si="21"/>
        <v>1</v>
      </c>
    </row>
    <row r="692" spans="1:17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  <c r="O692" t="b">
        <f>COUNTIF($A$2:A692,A692)&gt;1</f>
        <v>0</v>
      </c>
      <c r="P692" t="b">
        <f t="shared" si="20"/>
        <v>1</v>
      </c>
      <c r="Q692" t="b">
        <f t="shared" si="21"/>
        <v>1</v>
      </c>
    </row>
    <row r="693" spans="1:17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  <c r="O693" t="b">
        <f>COUNTIF($A$2:A693,A693)&gt;1</f>
        <v>0</v>
      </c>
      <c r="P693" t="b">
        <f t="shared" si="20"/>
        <v>1</v>
      </c>
      <c r="Q693" t="b">
        <f t="shared" si="21"/>
        <v>1</v>
      </c>
    </row>
    <row r="694" spans="1:17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  <c r="O694" t="b">
        <f>COUNTIF($A$2:A694,A694)&gt;1</f>
        <v>0</v>
      </c>
      <c r="P694" t="b">
        <f t="shared" si="20"/>
        <v>1</v>
      </c>
      <c r="Q694" t="b">
        <f t="shared" si="21"/>
        <v>1</v>
      </c>
    </row>
    <row r="695" spans="1:17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  <c r="O695" t="b">
        <f>COUNTIF($A$2:A695,A695)&gt;1</f>
        <v>0</v>
      </c>
      <c r="P695" t="b">
        <f t="shared" si="20"/>
        <v>1</v>
      </c>
      <c r="Q695" t="b">
        <f t="shared" si="21"/>
        <v>1</v>
      </c>
    </row>
    <row r="696" spans="1:17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  <c r="O696" t="b">
        <f>COUNTIF($A$2:A696,A696)&gt;1</f>
        <v>0</v>
      </c>
      <c r="P696" t="b">
        <f t="shared" si="20"/>
        <v>1</v>
      </c>
      <c r="Q696" t="b">
        <f t="shared" si="21"/>
        <v>1</v>
      </c>
    </row>
    <row r="697" spans="1:17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  <c r="O697" t="b">
        <f>COUNTIF($A$2:A697,A697)&gt;1</f>
        <v>0</v>
      </c>
      <c r="P697" t="b">
        <f t="shared" si="20"/>
        <v>1</v>
      </c>
      <c r="Q697" t="b">
        <f t="shared" si="21"/>
        <v>1</v>
      </c>
    </row>
    <row r="698" spans="1:17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  <c r="O698" t="b">
        <f>COUNTIF($A$2:A698,A698)&gt;1</f>
        <v>0</v>
      </c>
      <c r="P698" t="b">
        <f t="shared" si="20"/>
        <v>1</v>
      </c>
      <c r="Q698" t="b">
        <f t="shared" si="21"/>
        <v>1</v>
      </c>
    </row>
    <row r="699" spans="1:17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  <c r="O699" t="b">
        <f>COUNTIF($A$2:A699,A699)&gt;1</f>
        <v>0</v>
      </c>
      <c r="P699" t="b">
        <f t="shared" si="20"/>
        <v>1</v>
      </c>
      <c r="Q699" t="b">
        <f t="shared" si="21"/>
        <v>1</v>
      </c>
    </row>
    <row r="700" spans="1:17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  <c r="O700" t="b">
        <f>COUNTIF($A$2:A700,A700)&gt;1</f>
        <v>0</v>
      </c>
      <c r="P700" t="b">
        <f t="shared" si="20"/>
        <v>1</v>
      </c>
      <c r="Q700" t="b">
        <f t="shared" si="21"/>
        <v>1</v>
      </c>
    </row>
    <row r="701" spans="1:17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  <c r="O701" t="b">
        <f>COUNTIF($A$2:A701,A701)&gt;1</f>
        <v>0</v>
      </c>
      <c r="P701" t="b">
        <f t="shared" si="20"/>
        <v>1</v>
      </c>
      <c r="Q701" t="b">
        <f t="shared" si="21"/>
        <v>1</v>
      </c>
    </row>
    <row r="702" spans="1:17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  <c r="O702" t="b">
        <f>COUNTIF($A$2:A702,A702)&gt;1</f>
        <v>0</v>
      </c>
      <c r="P702" t="b">
        <f t="shared" si="20"/>
        <v>1</v>
      </c>
      <c r="Q702" t="b">
        <f t="shared" si="21"/>
        <v>1</v>
      </c>
    </row>
    <row r="703" spans="1:17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  <c r="O703" t="b">
        <f>COUNTIF($A$2:A703,A703)&gt;1</f>
        <v>0</v>
      </c>
      <c r="P703" t="b">
        <f t="shared" si="20"/>
        <v>1</v>
      </c>
      <c r="Q703" t="b">
        <f t="shared" si="21"/>
        <v>1</v>
      </c>
    </row>
    <row r="704" spans="1:17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  <c r="O704" t="b">
        <f>COUNTIF($A$2:A704,A704)&gt;1</f>
        <v>0</v>
      </c>
      <c r="P704" t="b">
        <f t="shared" si="20"/>
        <v>1</v>
      </c>
      <c r="Q704" t="b">
        <f t="shared" si="21"/>
        <v>1</v>
      </c>
    </row>
    <row r="705" spans="1:17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  <c r="O705" t="b">
        <f>COUNTIF($A$2:A705,A705)&gt;1</f>
        <v>0</v>
      </c>
      <c r="P705" t="b">
        <f t="shared" si="20"/>
        <v>1</v>
      </c>
      <c r="Q705" t="b">
        <f t="shared" si="21"/>
        <v>1</v>
      </c>
    </row>
    <row r="706" spans="1:17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  <c r="O706" t="b">
        <f>COUNTIF($A$2:A706,A706)&gt;1</f>
        <v>0</v>
      </c>
      <c r="P706" t="b">
        <f t="shared" ref="P706:P769" si="22">TRIM(H706)=H706</f>
        <v>1</v>
      </c>
      <c r="Q706" t="b">
        <f t="shared" ref="Q706:Q769" si="23">ROUND(E706*F706,2)=ROUND(N706,2)</f>
        <v>1</v>
      </c>
    </row>
    <row r="707" spans="1:17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  <c r="O707" t="b">
        <f>COUNTIF($A$2:A707,A707)&gt;1</f>
        <v>0</v>
      </c>
      <c r="P707" t="b">
        <f t="shared" si="22"/>
        <v>1</v>
      </c>
      <c r="Q707" t="b">
        <f t="shared" si="23"/>
        <v>1</v>
      </c>
    </row>
    <row r="708" spans="1:17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  <c r="O708" t="b">
        <f>COUNTIF($A$2:A708,A708)&gt;1</f>
        <v>0</v>
      </c>
      <c r="P708" t="b">
        <f t="shared" si="22"/>
        <v>1</v>
      </c>
      <c r="Q708" t="b">
        <f t="shared" si="23"/>
        <v>1</v>
      </c>
    </row>
    <row r="709" spans="1:17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  <c r="O709" t="b">
        <f>COUNTIF($A$2:A709,A709)&gt;1</f>
        <v>0</v>
      </c>
      <c r="P709" t="b">
        <f t="shared" si="22"/>
        <v>1</v>
      </c>
      <c r="Q709" t="b">
        <f t="shared" si="23"/>
        <v>1</v>
      </c>
    </row>
    <row r="710" spans="1:17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  <c r="O710" t="b">
        <f>COUNTIF($A$2:A710,A710)&gt;1</f>
        <v>0</v>
      </c>
      <c r="P710" t="b">
        <f t="shared" si="22"/>
        <v>1</v>
      </c>
      <c r="Q710" t="b">
        <f t="shared" si="23"/>
        <v>1</v>
      </c>
    </row>
    <row r="711" spans="1:17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  <c r="O711" t="b">
        <f>COUNTIF($A$2:A711,A711)&gt;1</f>
        <v>0</v>
      </c>
      <c r="P711" t="b">
        <f t="shared" si="22"/>
        <v>1</v>
      </c>
      <c r="Q711" t="b">
        <f t="shared" si="23"/>
        <v>1</v>
      </c>
    </row>
    <row r="712" spans="1:17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  <c r="O712" t="b">
        <f>COUNTIF($A$2:A712,A712)&gt;1</f>
        <v>0</v>
      </c>
      <c r="P712" t="b">
        <f t="shared" si="22"/>
        <v>1</v>
      </c>
      <c r="Q712" t="b">
        <f t="shared" si="23"/>
        <v>1</v>
      </c>
    </row>
    <row r="713" spans="1:17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  <c r="O713" t="b">
        <f>COUNTIF($A$2:A713,A713)&gt;1</f>
        <v>0</v>
      </c>
      <c r="P713" t="b">
        <f t="shared" si="22"/>
        <v>1</v>
      </c>
      <c r="Q713" t="b">
        <f t="shared" si="23"/>
        <v>1</v>
      </c>
    </row>
    <row r="714" spans="1:17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  <c r="O714" t="b">
        <f>COUNTIF($A$2:A714,A714)&gt;1</f>
        <v>0</v>
      </c>
      <c r="P714" t="b">
        <f t="shared" si="22"/>
        <v>1</v>
      </c>
      <c r="Q714" t="b">
        <f t="shared" si="23"/>
        <v>1</v>
      </c>
    </row>
    <row r="715" spans="1:17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  <c r="O715" t="b">
        <f>COUNTIF($A$2:A715,A715)&gt;1</f>
        <v>0</v>
      </c>
      <c r="P715" t="b">
        <f t="shared" si="22"/>
        <v>1</v>
      </c>
      <c r="Q715" t="b">
        <f t="shared" si="23"/>
        <v>1</v>
      </c>
    </row>
    <row r="716" spans="1:17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  <c r="O716" t="b">
        <f>COUNTIF($A$2:A716,A716)&gt;1</f>
        <v>0</v>
      </c>
      <c r="P716" t="b">
        <f t="shared" si="22"/>
        <v>1</v>
      </c>
      <c r="Q716" t="b">
        <f t="shared" si="23"/>
        <v>1</v>
      </c>
    </row>
    <row r="717" spans="1:17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  <c r="O717" t="b">
        <f>COUNTIF($A$2:A717,A717)&gt;1</f>
        <v>0</v>
      </c>
      <c r="P717" t="b">
        <f t="shared" si="22"/>
        <v>1</v>
      </c>
      <c r="Q717" t="b">
        <f t="shared" si="23"/>
        <v>1</v>
      </c>
    </row>
    <row r="718" spans="1:17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  <c r="O718" t="b">
        <f>COUNTIF($A$2:A718,A718)&gt;1</f>
        <v>0</v>
      </c>
      <c r="P718" t="b">
        <f t="shared" si="22"/>
        <v>1</v>
      </c>
      <c r="Q718" t="b">
        <f t="shared" si="23"/>
        <v>1</v>
      </c>
    </row>
    <row r="719" spans="1:17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  <c r="O719" t="b">
        <f>COUNTIF($A$2:A719,A719)&gt;1</f>
        <v>0</v>
      </c>
      <c r="P719" t="b">
        <f t="shared" si="22"/>
        <v>1</v>
      </c>
      <c r="Q719" t="b">
        <f t="shared" si="23"/>
        <v>1</v>
      </c>
    </row>
    <row r="720" spans="1:17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  <c r="O720" t="b">
        <f>COUNTIF($A$2:A720,A720)&gt;1</f>
        <v>0</v>
      </c>
      <c r="P720" t="b">
        <f t="shared" si="22"/>
        <v>1</v>
      </c>
      <c r="Q720" t="b">
        <f t="shared" si="23"/>
        <v>1</v>
      </c>
    </row>
    <row r="721" spans="1:17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  <c r="O721" t="b">
        <f>COUNTIF($A$2:A721,A721)&gt;1</f>
        <v>0</v>
      </c>
      <c r="P721" t="b">
        <f t="shared" si="22"/>
        <v>1</v>
      </c>
      <c r="Q721" t="b">
        <f t="shared" si="23"/>
        <v>1</v>
      </c>
    </row>
    <row r="722" spans="1:17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  <c r="O722" t="b">
        <f>COUNTIF($A$2:A722,A722)&gt;1</f>
        <v>0</v>
      </c>
      <c r="P722" t="b">
        <f t="shared" si="22"/>
        <v>1</v>
      </c>
      <c r="Q722" t="b">
        <f t="shared" si="23"/>
        <v>1</v>
      </c>
    </row>
    <row r="723" spans="1:17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  <c r="O723" t="b">
        <f>COUNTIF($A$2:A723,A723)&gt;1</f>
        <v>0</v>
      </c>
      <c r="P723" t="b">
        <f t="shared" si="22"/>
        <v>1</v>
      </c>
      <c r="Q723" t="b">
        <f t="shared" si="23"/>
        <v>1</v>
      </c>
    </row>
    <row r="724" spans="1:17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  <c r="O724" t="b">
        <f>COUNTIF($A$2:A724,A724)&gt;1</f>
        <v>0</v>
      </c>
      <c r="P724" t="b">
        <f t="shared" si="22"/>
        <v>1</v>
      </c>
      <c r="Q724" t="b">
        <f t="shared" si="23"/>
        <v>1</v>
      </c>
    </row>
    <row r="725" spans="1:17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  <c r="O725" t="b">
        <f>COUNTIF($A$2:A725,A725)&gt;1</f>
        <v>0</v>
      </c>
      <c r="P725" t="b">
        <f t="shared" si="22"/>
        <v>1</v>
      </c>
      <c r="Q725" t="b">
        <f t="shared" si="23"/>
        <v>1</v>
      </c>
    </row>
    <row r="726" spans="1:17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  <c r="O726" t="b">
        <f>COUNTIF($A$2:A726,A726)&gt;1</f>
        <v>0</v>
      </c>
      <c r="P726" t="b">
        <f t="shared" si="22"/>
        <v>1</v>
      </c>
      <c r="Q726" t="b">
        <f t="shared" si="23"/>
        <v>1</v>
      </c>
    </row>
    <row r="727" spans="1:17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  <c r="O727" t="b">
        <f>COUNTIF($A$2:A727,A727)&gt;1</f>
        <v>0</v>
      </c>
      <c r="P727" t="b">
        <f t="shared" si="22"/>
        <v>1</v>
      </c>
      <c r="Q727" t="b">
        <f t="shared" si="23"/>
        <v>1</v>
      </c>
    </row>
    <row r="728" spans="1:17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  <c r="O728" t="b">
        <f>COUNTIF($A$2:A728,A728)&gt;1</f>
        <v>0</v>
      </c>
      <c r="P728" t="b">
        <f t="shared" si="22"/>
        <v>1</v>
      </c>
      <c r="Q728" t="b">
        <f t="shared" si="23"/>
        <v>1</v>
      </c>
    </row>
    <row r="729" spans="1:17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  <c r="O729" t="b">
        <f>COUNTIF($A$2:A729,A729)&gt;1</f>
        <v>0</v>
      </c>
      <c r="P729" t="b">
        <f t="shared" si="22"/>
        <v>1</v>
      </c>
      <c r="Q729" t="b">
        <f t="shared" si="23"/>
        <v>1</v>
      </c>
    </row>
    <row r="730" spans="1:17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  <c r="O730" t="b">
        <f>COUNTIF($A$2:A730,A730)&gt;1</f>
        <v>0</v>
      </c>
      <c r="P730" t="b">
        <f t="shared" si="22"/>
        <v>1</v>
      </c>
      <c r="Q730" t="b">
        <f t="shared" si="23"/>
        <v>1</v>
      </c>
    </row>
    <row r="731" spans="1:17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  <c r="O731" t="b">
        <f>COUNTIF($A$2:A731,A731)&gt;1</f>
        <v>0</v>
      </c>
      <c r="P731" t="b">
        <f t="shared" si="22"/>
        <v>1</v>
      </c>
      <c r="Q731" t="b">
        <f t="shared" si="23"/>
        <v>1</v>
      </c>
    </row>
    <row r="732" spans="1:17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  <c r="O732" t="b">
        <f>COUNTIF($A$2:A732,A732)&gt;1</f>
        <v>0</v>
      </c>
      <c r="P732" t="b">
        <f t="shared" si="22"/>
        <v>1</v>
      </c>
      <c r="Q732" t="b">
        <f t="shared" si="23"/>
        <v>1</v>
      </c>
    </row>
    <row r="733" spans="1:17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  <c r="O733" t="b">
        <f>COUNTIF($A$2:A733,A733)&gt;1</f>
        <v>0</v>
      </c>
      <c r="P733" t="b">
        <f t="shared" si="22"/>
        <v>1</v>
      </c>
      <c r="Q733" t="b">
        <f t="shared" si="23"/>
        <v>1</v>
      </c>
    </row>
    <row r="734" spans="1:17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  <c r="O734" t="b">
        <f>COUNTIF($A$2:A734,A734)&gt;1</f>
        <v>0</v>
      </c>
      <c r="P734" t="b">
        <f t="shared" si="22"/>
        <v>1</v>
      </c>
      <c r="Q734" t="b">
        <f t="shared" si="23"/>
        <v>1</v>
      </c>
    </row>
    <row r="735" spans="1:17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  <c r="O735" t="b">
        <f>COUNTIF($A$2:A735,A735)&gt;1</f>
        <v>0</v>
      </c>
      <c r="P735" t="b">
        <f t="shared" si="22"/>
        <v>1</v>
      </c>
      <c r="Q735" t="b">
        <f t="shared" si="23"/>
        <v>1</v>
      </c>
    </row>
    <row r="736" spans="1:17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  <c r="O736" t="b">
        <f>COUNTIF($A$2:A736,A736)&gt;1</f>
        <v>0</v>
      </c>
      <c r="P736" t="b">
        <f t="shared" si="22"/>
        <v>1</v>
      </c>
      <c r="Q736" t="b">
        <f t="shared" si="23"/>
        <v>1</v>
      </c>
    </row>
    <row r="737" spans="1:17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  <c r="O737" t="b">
        <f>COUNTIF($A$2:A737,A737)&gt;1</f>
        <v>0</v>
      </c>
      <c r="P737" t="b">
        <f t="shared" si="22"/>
        <v>1</v>
      </c>
      <c r="Q737" t="b">
        <f t="shared" si="23"/>
        <v>1</v>
      </c>
    </row>
    <row r="738" spans="1:17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  <c r="O738" t="b">
        <f>COUNTIF($A$2:A738,A738)&gt;1</f>
        <v>0</v>
      </c>
      <c r="P738" t="b">
        <f t="shared" si="22"/>
        <v>1</v>
      </c>
      <c r="Q738" t="b">
        <f t="shared" si="23"/>
        <v>1</v>
      </c>
    </row>
    <row r="739" spans="1:17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  <c r="O739" t="b">
        <f>COUNTIF($A$2:A739,A739)&gt;1</f>
        <v>0</v>
      </c>
      <c r="P739" t="b">
        <f t="shared" si="22"/>
        <v>1</v>
      </c>
      <c r="Q739" t="b">
        <f t="shared" si="23"/>
        <v>1</v>
      </c>
    </row>
    <row r="740" spans="1:17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  <c r="O740" t="b">
        <f>COUNTIF($A$2:A740,A740)&gt;1</f>
        <v>0</v>
      </c>
      <c r="P740" t="b">
        <f t="shared" si="22"/>
        <v>1</v>
      </c>
      <c r="Q740" t="b">
        <f t="shared" si="23"/>
        <v>1</v>
      </c>
    </row>
    <row r="741" spans="1:17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  <c r="O741" t="b">
        <f>COUNTIF($A$2:A741,A741)&gt;1</f>
        <v>0</v>
      </c>
      <c r="P741" t="b">
        <f t="shared" si="22"/>
        <v>1</v>
      </c>
      <c r="Q741" t="b">
        <f t="shared" si="23"/>
        <v>1</v>
      </c>
    </row>
    <row r="742" spans="1:17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  <c r="O742" t="b">
        <f>COUNTIF($A$2:A742,A742)&gt;1</f>
        <v>0</v>
      </c>
      <c r="P742" t="b">
        <f t="shared" si="22"/>
        <v>1</v>
      </c>
      <c r="Q742" t="b">
        <f t="shared" si="23"/>
        <v>1</v>
      </c>
    </row>
    <row r="743" spans="1:17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  <c r="O743" t="b">
        <f>COUNTIF($A$2:A743,A743)&gt;1</f>
        <v>0</v>
      </c>
      <c r="P743" t="b">
        <f t="shared" si="22"/>
        <v>1</v>
      </c>
      <c r="Q743" t="b">
        <f t="shared" si="23"/>
        <v>1</v>
      </c>
    </row>
    <row r="744" spans="1:17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  <c r="O744" t="b">
        <f>COUNTIF($A$2:A744,A744)&gt;1</f>
        <v>0</v>
      </c>
      <c r="P744" t="b">
        <f t="shared" si="22"/>
        <v>1</v>
      </c>
      <c r="Q744" t="b">
        <f t="shared" si="23"/>
        <v>1</v>
      </c>
    </row>
    <row r="745" spans="1:17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  <c r="O745" t="b">
        <f>COUNTIF($A$2:A745,A745)&gt;1</f>
        <v>0</v>
      </c>
      <c r="P745" t="b">
        <f t="shared" si="22"/>
        <v>1</v>
      </c>
      <c r="Q745" t="b">
        <f t="shared" si="23"/>
        <v>1</v>
      </c>
    </row>
    <row r="746" spans="1:17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  <c r="O746" t="b">
        <f>COUNTIF($A$2:A746,A746)&gt;1</f>
        <v>0</v>
      </c>
      <c r="P746" t="b">
        <f t="shared" si="22"/>
        <v>1</v>
      </c>
      <c r="Q746" t="b">
        <f t="shared" si="23"/>
        <v>1</v>
      </c>
    </row>
    <row r="747" spans="1:17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  <c r="O747" t="b">
        <f>COUNTIF($A$2:A747,A747)&gt;1</f>
        <v>0</v>
      </c>
      <c r="P747" t="b">
        <f t="shared" si="22"/>
        <v>1</v>
      </c>
      <c r="Q747" t="b">
        <f t="shared" si="23"/>
        <v>1</v>
      </c>
    </row>
    <row r="748" spans="1:17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  <c r="O748" t="b">
        <f>COUNTIF($A$2:A748,A748)&gt;1</f>
        <v>0</v>
      </c>
      <c r="P748" t="b">
        <f t="shared" si="22"/>
        <v>1</v>
      </c>
      <c r="Q748" t="b">
        <f t="shared" si="23"/>
        <v>1</v>
      </c>
    </row>
    <row r="749" spans="1:17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  <c r="O749" t="b">
        <f>COUNTIF($A$2:A749,A749)&gt;1</f>
        <v>0</v>
      </c>
      <c r="P749" t="b">
        <f t="shared" si="22"/>
        <v>1</v>
      </c>
      <c r="Q749" t="b">
        <f t="shared" si="23"/>
        <v>1</v>
      </c>
    </row>
    <row r="750" spans="1:17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  <c r="O750" t="b">
        <f>COUNTIF($A$2:A750,A750)&gt;1</f>
        <v>0</v>
      </c>
      <c r="P750" t="b">
        <f t="shared" si="22"/>
        <v>1</v>
      </c>
      <c r="Q750" t="b">
        <f t="shared" si="23"/>
        <v>1</v>
      </c>
    </row>
    <row r="751" spans="1:17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  <c r="O751" t="b">
        <f>COUNTIF($A$2:A751,A751)&gt;1</f>
        <v>0</v>
      </c>
      <c r="P751" t="b">
        <f t="shared" si="22"/>
        <v>1</v>
      </c>
      <c r="Q751" t="b">
        <f t="shared" si="23"/>
        <v>1</v>
      </c>
    </row>
    <row r="752" spans="1:17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  <c r="O752" t="b">
        <f>COUNTIF($A$2:A752,A752)&gt;1</f>
        <v>0</v>
      </c>
      <c r="P752" t="b">
        <f t="shared" si="22"/>
        <v>1</v>
      </c>
      <c r="Q752" t="b">
        <f t="shared" si="23"/>
        <v>1</v>
      </c>
    </row>
    <row r="753" spans="1:17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  <c r="O753" t="b">
        <f>COUNTIF($A$2:A753,A753)&gt;1</f>
        <v>0</v>
      </c>
      <c r="P753" t="b">
        <f t="shared" si="22"/>
        <v>1</v>
      </c>
      <c r="Q753" t="b">
        <f t="shared" si="23"/>
        <v>1</v>
      </c>
    </row>
    <row r="754" spans="1:17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  <c r="O754" t="b">
        <f>COUNTIF($A$2:A754,A754)&gt;1</f>
        <v>0</v>
      </c>
      <c r="P754" t="b">
        <f t="shared" si="22"/>
        <v>1</v>
      </c>
      <c r="Q754" t="b">
        <f t="shared" si="23"/>
        <v>1</v>
      </c>
    </row>
    <row r="755" spans="1:17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  <c r="O755" t="b">
        <f>COUNTIF($A$2:A755,A755)&gt;1</f>
        <v>0</v>
      </c>
      <c r="P755" t="b">
        <f t="shared" si="22"/>
        <v>1</v>
      </c>
      <c r="Q755" t="b">
        <f t="shared" si="23"/>
        <v>1</v>
      </c>
    </row>
    <row r="756" spans="1:17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  <c r="O756" t="b">
        <f>COUNTIF($A$2:A756,A756)&gt;1</f>
        <v>0</v>
      </c>
      <c r="P756" t="b">
        <f t="shared" si="22"/>
        <v>1</v>
      </c>
      <c r="Q756" t="b">
        <f t="shared" si="23"/>
        <v>1</v>
      </c>
    </row>
    <row r="757" spans="1:17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  <c r="O757" t="b">
        <f>COUNTIF($A$2:A757,A757)&gt;1</f>
        <v>0</v>
      </c>
      <c r="P757" t="b">
        <f t="shared" si="22"/>
        <v>1</v>
      </c>
      <c r="Q757" t="b">
        <f t="shared" si="23"/>
        <v>1</v>
      </c>
    </row>
    <row r="758" spans="1:17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  <c r="O758" t="b">
        <f>COUNTIF($A$2:A758,A758)&gt;1</f>
        <v>0</v>
      </c>
      <c r="P758" t="b">
        <f t="shared" si="22"/>
        <v>1</v>
      </c>
      <c r="Q758" t="b">
        <f t="shared" si="23"/>
        <v>1</v>
      </c>
    </row>
    <row r="759" spans="1:17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  <c r="O759" t="b">
        <f>COUNTIF($A$2:A759,A759)&gt;1</f>
        <v>0</v>
      </c>
      <c r="P759" t="b">
        <f t="shared" si="22"/>
        <v>1</v>
      </c>
      <c r="Q759" t="b">
        <f t="shared" si="23"/>
        <v>1</v>
      </c>
    </row>
    <row r="760" spans="1:17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  <c r="O760" t="b">
        <f>COUNTIF($A$2:A760,A760)&gt;1</f>
        <v>0</v>
      </c>
      <c r="P760" t="b">
        <f t="shared" si="22"/>
        <v>1</v>
      </c>
      <c r="Q760" t="b">
        <f t="shared" si="23"/>
        <v>1</v>
      </c>
    </row>
    <row r="761" spans="1:17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  <c r="O761" t="b">
        <f>COUNTIF($A$2:A761,A761)&gt;1</f>
        <v>0</v>
      </c>
      <c r="P761" t="b">
        <f t="shared" si="22"/>
        <v>1</v>
      </c>
      <c r="Q761" t="b">
        <f t="shared" si="23"/>
        <v>1</v>
      </c>
    </row>
    <row r="762" spans="1:17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  <c r="O762" t="b">
        <f>COUNTIF($A$2:A762,A762)&gt;1</f>
        <v>0</v>
      </c>
      <c r="P762" t="b">
        <f t="shared" si="22"/>
        <v>1</v>
      </c>
      <c r="Q762" t="b">
        <f t="shared" si="23"/>
        <v>1</v>
      </c>
    </row>
    <row r="763" spans="1:17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  <c r="O763" t="b">
        <f>COUNTIF($A$2:A763,A763)&gt;1</f>
        <v>0</v>
      </c>
      <c r="P763" t="b">
        <f t="shared" si="22"/>
        <v>1</v>
      </c>
      <c r="Q763" t="b">
        <f t="shared" si="23"/>
        <v>1</v>
      </c>
    </row>
    <row r="764" spans="1:17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  <c r="O764" t="b">
        <f>COUNTIF($A$2:A764,A764)&gt;1</f>
        <v>0</v>
      </c>
      <c r="P764" t="b">
        <f t="shared" si="22"/>
        <v>1</v>
      </c>
      <c r="Q764" t="b">
        <f t="shared" si="23"/>
        <v>1</v>
      </c>
    </row>
    <row r="765" spans="1:17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  <c r="O765" t="b">
        <f>COUNTIF($A$2:A765,A765)&gt;1</f>
        <v>0</v>
      </c>
      <c r="P765" t="b">
        <f t="shared" si="22"/>
        <v>1</v>
      </c>
      <c r="Q765" t="b">
        <f t="shared" si="23"/>
        <v>1</v>
      </c>
    </row>
    <row r="766" spans="1:17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  <c r="O766" t="b">
        <f>COUNTIF($A$2:A766,A766)&gt;1</f>
        <v>0</v>
      </c>
      <c r="P766" t="b">
        <f t="shared" si="22"/>
        <v>1</v>
      </c>
      <c r="Q766" t="b">
        <f t="shared" si="23"/>
        <v>1</v>
      </c>
    </row>
    <row r="767" spans="1:17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  <c r="O767" t="b">
        <f>COUNTIF($A$2:A767,A767)&gt;1</f>
        <v>0</v>
      </c>
      <c r="P767" t="b">
        <f t="shared" si="22"/>
        <v>1</v>
      </c>
      <c r="Q767" t="b">
        <f t="shared" si="23"/>
        <v>1</v>
      </c>
    </row>
    <row r="768" spans="1:17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  <c r="O768" t="b">
        <f>COUNTIF($A$2:A768,A768)&gt;1</f>
        <v>0</v>
      </c>
      <c r="P768" t="b">
        <f t="shared" si="22"/>
        <v>1</v>
      </c>
      <c r="Q768" t="b">
        <f t="shared" si="23"/>
        <v>1</v>
      </c>
    </row>
    <row r="769" spans="1:17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  <c r="O769" t="b">
        <f>COUNTIF($A$2:A769,A769)&gt;1</f>
        <v>0</v>
      </c>
      <c r="P769" t="b">
        <f t="shared" si="22"/>
        <v>1</v>
      </c>
      <c r="Q769" t="b">
        <f t="shared" si="23"/>
        <v>1</v>
      </c>
    </row>
    <row r="770" spans="1:17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  <c r="O770" t="b">
        <f>COUNTIF($A$2:A770,A770)&gt;1</f>
        <v>0</v>
      </c>
      <c r="P770" t="b">
        <f t="shared" ref="P770:P833" si="24">TRIM(H770)=H770</f>
        <v>1</v>
      </c>
      <c r="Q770" t="b">
        <f t="shared" ref="Q770:Q833" si="25">ROUND(E770*F770,2)=ROUND(N770,2)</f>
        <v>1</v>
      </c>
    </row>
    <row r="771" spans="1:17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  <c r="O771" t="b">
        <f>COUNTIF($A$2:A771,A771)&gt;1</f>
        <v>0</v>
      </c>
      <c r="P771" t="b">
        <f t="shared" si="24"/>
        <v>1</v>
      </c>
      <c r="Q771" t="b">
        <f t="shared" si="25"/>
        <v>1</v>
      </c>
    </row>
    <row r="772" spans="1:17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  <c r="O772" t="b">
        <f>COUNTIF($A$2:A772,A772)&gt;1</f>
        <v>0</v>
      </c>
      <c r="P772" t="b">
        <f t="shared" si="24"/>
        <v>1</v>
      </c>
      <c r="Q772" t="b">
        <f t="shared" si="25"/>
        <v>1</v>
      </c>
    </row>
    <row r="773" spans="1:17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  <c r="O773" t="b">
        <f>COUNTIF($A$2:A773,A773)&gt;1</f>
        <v>0</v>
      </c>
      <c r="P773" t="b">
        <f t="shared" si="24"/>
        <v>1</v>
      </c>
      <c r="Q773" t="b">
        <f t="shared" si="25"/>
        <v>1</v>
      </c>
    </row>
    <row r="774" spans="1:17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  <c r="O774" t="b">
        <f>COUNTIF($A$2:A774,A774)&gt;1</f>
        <v>0</v>
      </c>
      <c r="P774" t="b">
        <f t="shared" si="24"/>
        <v>1</v>
      </c>
      <c r="Q774" t="b">
        <f t="shared" si="25"/>
        <v>1</v>
      </c>
    </row>
    <row r="775" spans="1:17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  <c r="O775" t="b">
        <f>COUNTIF($A$2:A775,A775)&gt;1</f>
        <v>0</v>
      </c>
      <c r="P775" t="b">
        <f t="shared" si="24"/>
        <v>1</v>
      </c>
      <c r="Q775" t="b">
        <f t="shared" si="25"/>
        <v>1</v>
      </c>
    </row>
    <row r="776" spans="1:17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  <c r="O776" t="b">
        <f>COUNTIF($A$2:A776,A776)&gt;1</f>
        <v>0</v>
      </c>
      <c r="P776" t="b">
        <f t="shared" si="24"/>
        <v>1</v>
      </c>
      <c r="Q776" t="b">
        <f t="shared" si="25"/>
        <v>1</v>
      </c>
    </row>
    <row r="777" spans="1:17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  <c r="O777" t="b">
        <f>COUNTIF($A$2:A777,A777)&gt;1</f>
        <v>0</v>
      </c>
      <c r="P777" t="b">
        <f t="shared" si="24"/>
        <v>1</v>
      </c>
      <c r="Q777" t="b">
        <f t="shared" si="25"/>
        <v>1</v>
      </c>
    </row>
    <row r="778" spans="1:17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  <c r="O778" t="b">
        <f>COUNTIF($A$2:A778,A778)&gt;1</f>
        <v>0</v>
      </c>
      <c r="P778" t="b">
        <f t="shared" si="24"/>
        <v>1</v>
      </c>
      <c r="Q778" t="b">
        <f t="shared" si="25"/>
        <v>1</v>
      </c>
    </row>
    <row r="779" spans="1:17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  <c r="O779" t="b">
        <f>COUNTIF($A$2:A779,A779)&gt;1</f>
        <v>0</v>
      </c>
      <c r="P779" t="b">
        <f t="shared" si="24"/>
        <v>1</v>
      </c>
      <c r="Q779" t="b">
        <f t="shared" si="25"/>
        <v>1</v>
      </c>
    </row>
    <row r="780" spans="1:17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  <c r="O780" t="b">
        <f>COUNTIF($A$2:A780,A780)&gt;1</f>
        <v>0</v>
      </c>
      <c r="P780" t="b">
        <f t="shared" si="24"/>
        <v>1</v>
      </c>
      <c r="Q780" t="b">
        <f t="shared" si="25"/>
        <v>1</v>
      </c>
    </row>
    <row r="781" spans="1:17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  <c r="O781" t="b">
        <f>COUNTIF($A$2:A781,A781)&gt;1</f>
        <v>0</v>
      </c>
      <c r="P781" t="b">
        <f t="shared" si="24"/>
        <v>1</v>
      </c>
      <c r="Q781" t="b">
        <f t="shared" si="25"/>
        <v>1</v>
      </c>
    </row>
    <row r="782" spans="1:17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  <c r="O782" t="b">
        <f>COUNTIF($A$2:A782,A782)&gt;1</f>
        <v>0</v>
      </c>
      <c r="P782" t="b">
        <f t="shared" si="24"/>
        <v>1</v>
      </c>
      <c r="Q782" t="b">
        <f t="shared" si="25"/>
        <v>1</v>
      </c>
    </row>
    <row r="783" spans="1:17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  <c r="O783" t="b">
        <f>COUNTIF($A$2:A783,A783)&gt;1</f>
        <v>0</v>
      </c>
      <c r="P783" t="b">
        <f t="shared" si="24"/>
        <v>1</v>
      </c>
      <c r="Q783" t="b">
        <f t="shared" si="25"/>
        <v>1</v>
      </c>
    </row>
    <row r="784" spans="1:17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  <c r="O784" t="b">
        <f>COUNTIF($A$2:A784,A784)&gt;1</f>
        <v>0</v>
      </c>
      <c r="P784" t="b">
        <f t="shared" si="24"/>
        <v>1</v>
      </c>
      <c r="Q784" t="b">
        <f t="shared" si="25"/>
        <v>1</v>
      </c>
    </row>
    <row r="785" spans="1:17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  <c r="O785" t="b">
        <f>COUNTIF($A$2:A785,A785)&gt;1</f>
        <v>0</v>
      </c>
      <c r="P785" t="b">
        <f t="shared" si="24"/>
        <v>1</v>
      </c>
      <c r="Q785" t="b">
        <f t="shared" si="25"/>
        <v>1</v>
      </c>
    </row>
    <row r="786" spans="1:17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  <c r="O786" t="b">
        <f>COUNTIF($A$2:A786,A786)&gt;1</f>
        <v>0</v>
      </c>
      <c r="P786" t="b">
        <f t="shared" si="24"/>
        <v>1</v>
      </c>
      <c r="Q786" t="b">
        <f t="shared" si="25"/>
        <v>1</v>
      </c>
    </row>
    <row r="787" spans="1:17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  <c r="O787" t="b">
        <f>COUNTIF($A$2:A787,A787)&gt;1</f>
        <v>0</v>
      </c>
      <c r="P787" t="b">
        <f t="shared" si="24"/>
        <v>1</v>
      </c>
      <c r="Q787" t="b">
        <f t="shared" si="25"/>
        <v>1</v>
      </c>
    </row>
    <row r="788" spans="1:17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  <c r="O788" t="b">
        <f>COUNTIF($A$2:A788,A788)&gt;1</f>
        <v>0</v>
      </c>
      <c r="P788" t="b">
        <f t="shared" si="24"/>
        <v>1</v>
      </c>
      <c r="Q788" t="b">
        <f t="shared" si="25"/>
        <v>1</v>
      </c>
    </row>
    <row r="789" spans="1:17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  <c r="O789" t="b">
        <f>COUNTIF($A$2:A789,A789)&gt;1</f>
        <v>0</v>
      </c>
      <c r="P789" t="b">
        <f t="shared" si="24"/>
        <v>1</v>
      </c>
      <c r="Q789" t="b">
        <f t="shared" si="25"/>
        <v>1</v>
      </c>
    </row>
    <row r="790" spans="1:17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  <c r="O790" t="b">
        <f>COUNTIF($A$2:A790,A790)&gt;1</f>
        <v>0</v>
      </c>
      <c r="P790" t="b">
        <f t="shared" si="24"/>
        <v>1</v>
      </c>
      <c r="Q790" t="b">
        <f t="shared" si="25"/>
        <v>1</v>
      </c>
    </row>
    <row r="791" spans="1:17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  <c r="O791" t="b">
        <f>COUNTIF($A$2:A791,A791)&gt;1</f>
        <v>0</v>
      </c>
      <c r="P791" t="b">
        <f t="shared" si="24"/>
        <v>1</v>
      </c>
      <c r="Q791" t="b">
        <f t="shared" si="25"/>
        <v>1</v>
      </c>
    </row>
    <row r="792" spans="1:17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  <c r="O792" t="b">
        <f>COUNTIF($A$2:A792,A792)&gt;1</f>
        <v>0</v>
      </c>
      <c r="P792" t="b">
        <f t="shared" si="24"/>
        <v>1</v>
      </c>
      <c r="Q792" t="b">
        <f t="shared" si="25"/>
        <v>1</v>
      </c>
    </row>
    <row r="793" spans="1:17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  <c r="O793" t="b">
        <f>COUNTIF($A$2:A793,A793)&gt;1</f>
        <v>0</v>
      </c>
      <c r="P793" t="b">
        <f t="shared" si="24"/>
        <v>1</v>
      </c>
      <c r="Q793" t="b">
        <f t="shared" si="25"/>
        <v>1</v>
      </c>
    </row>
    <row r="794" spans="1:17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  <c r="O794" t="b">
        <f>COUNTIF($A$2:A794,A794)&gt;1</f>
        <v>0</v>
      </c>
      <c r="P794" t="b">
        <f t="shared" si="24"/>
        <v>1</v>
      </c>
      <c r="Q794" t="b">
        <f t="shared" si="25"/>
        <v>1</v>
      </c>
    </row>
    <row r="795" spans="1:17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  <c r="O795" t="b">
        <f>COUNTIF($A$2:A795,A795)&gt;1</f>
        <v>0</v>
      </c>
      <c r="P795" t="b">
        <f t="shared" si="24"/>
        <v>1</v>
      </c>
      <c r="Q795" t="b">
        <f t="shared" si="25"/>
        <v>1</v>
      </c>
    </row>
    <row r="796" spans="1:17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  <c r="O796" t="b">
        <f>COUNTIF($A$2:A796,A796)&gt;1</f>
        <v>0</v>
      </c>
      <c r="P796" t="b">
        <f t="shared" si="24"/>
        <v>1</v>
      </c>
      <c r="Q796" t="b">
        <f t="shared" si="25"/>
        <v>1</v>
      </c>
    </row>
    <row r="797" spans="1:17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  <c r="O797" t="b">
        <f>COUNTIF($A$2:A797,A797)&gt;1</f>
        <v>0</v>
      </c>
      <c r="P797" t="b">
        <f t="shared" si="24"/>
        <v>1</v>
      </c>
      <c r="Q797" t="b">
        <f t="shared" si="25"/>
        <v>1</v>
      </c>
    </row>
    <row r="798" spans="1:17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  <c r="O798" t="b">
        <f>COUNTIF($A$2:A798,A798)&gt;1</f>
        <v>0</v>
      </c>
      <c r="P798" t="b">
        <f t="shared" si="24"/>
        <v>1</v>
      </c>
      <c r="Q798" t="b">
        <f t="shared" si="25"/>
        <v>1</v>
      </c>
    </row>
    <row r="799" spans="1:17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  <c r="O799" t="b">
        <f>COUNTIF($A$2:A799,A799)&gt;1</f>
        <v>0</v>
      </c>
      <c r="P799" t="b">
        <f t="shared" si="24"/>
        <v>1</v>
      </c>
      <c r="Q799" t="b">
        <f t="shared" si="25"/>
        <v>1</v>
      </c>
    </row>
    <row r="800" spans="1:17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  <c r="O800" t="b">
        <f>COUNTIF($A$2:A800,A800)&gt;1</f>
        <v>0</v>
      </c>
      <c r="P800" t="b">
        <f t="shared" si="24"/>
        <v>1</v>
      </c>
      <c r="Q800" t="b">
        <f t="shared" si="25"/>
        <v>1</v>
      </c>
    </row>
    <row r="801" spans="1:17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  <c r="O801" t="b">
        <f>COUNTIF($A$2:A801,A801)&gt;1</f>
        <v>0</v>
      </c>
      <c r="P801" t="b">
        <f t="shared" si="24"/>
        <v>1</v>
      </c>
      <c r="Q801" t="b">
        <f t="shared" si="25"/>
        <v>1</v>
      </c>
    </row>
    <row r="802" spans="1:17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  <c r="O802" t="b">
        <f>COUNTIF($A$2:A802,A802)&gt;1</f>
        <v>0</v>
      </c>
      <c r="P802" t="b">
        <f t="shared" si="24"/>
        <v>1</v>
      </c>
      <c r="Q802" t="b">
        <f t="shared" si="25"/>
        <v>1</v>
      </c>
    </row>
    <row r="803" spans="1:17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  <c r="O803" t="b">
        <f>COUNTIF($A$2:A803,A803)&gt;1</f>
        <v>0</v>
      </c>
      <c r="P803" t="b">
        <f t="shared" si="24"/>
        <v>1</v>
      </c>
      <c r="Q803" t="b">
        <f t="shared" si="25"/>
        <v>1</v>
      </c>
    </row>
    <row r="804" spans="1:17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  <c r="O804" t="b">
        <f>COUNTIF($A$2:A804,A804)&gt;1</f>
        <v>0</v>
      </c>
      <c r="P804" t="b">
        <f t="shared" si="24"/>
        <v>1</v>
      </c>
      <c r="Q804" t="b">
        <f t="shared" si="25"/>
        <v>1</v>
      </c>
    </row>
    <row r="805" spans="1:17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  <c r="O805" t="b">
        <f>COUNTIF($A$2:A805,A805)&gt;1</f>
        <v>0</v>
      </c>
      <c r="P805" t="b">
        <f t="shared" si="24"/>
        <v>1</v>
      </c>
      <c r="Q805" t="b">
        <f t="shared" si="25"/>
        <v>1</v>
      </c>
    </row>
    <row r="806" spans="1:17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  <c r="O806" t="b">
        <f>COUNTIF($A$2:A806,A806)&gt;1</f>
        <v>0</v>
      </c>
      <c r="P806" t="b">
        <f t="shared" si="24"/>
        <v>1</v>
      </c>
      <c r="Q806" t="b">
        <f t="shared" si="25"/>
        <v>1</v>
      </c>
    </row>
    <row r="807" spans="1:17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  <c r="O807" t="b">
        <f>COUNTIF($A$2:A807,A807)&gt;1</f>
        <v>0</v>
      </c>
      <c r="P807" t="b">
        <f t="shared" si="24"/>
        <v>1</v>
      </c>
      <c r="Q807" t="b">
        <f t="shared" si="25"/>
        <v>1</v>
      </c>
    </row>
    <row r="808" spans="1:17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  <c r="O808" t="b">
        <f>COUNTIF($A$2:A808,A808)&gt;1</f>
        <v>0</v>
      </c>
      <c r="P808" t="b">
        <f t="shared" si="24"/>
        <v>1</v>
      </c>
      <c r="Q808" t="b">
        <f t="shared" si="25"/>
        <v>1</v>
      </c>
    </row>
    <row r="809" spans="1:17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  <c r="O809" t="b">
        <f>COUNTIF($A$2:A809,A809)&gt;1</f>
        <v>0</v>
      </c>
      <c r="P809" t="b">
        <f t="shared" si="24"/>
        <v>1</v>
      </c>
      <c r="Q809" t="b">
        <f t="shared" si="25"/>
        <v>1</v>
      </c>
    </row>
    <row r="810" spans="1:17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  <c r="O810" t="b">
        <f>COUNTIF($A$2:A810,A810)&gt;1</f>
        <v>0</v>
      </c>
      <c r="P810" t="b">
        <f t="shared" si="24"/>
        <v>1</v>
      </c>
      <c r="Q810" t="b">
        <f t="shared" si="25"/>
        <v>1</v>
      </c>
    </row>
    <row r="811" spans="1:17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  <c r="O811" t="b">
        <f>COUNTIF($A$2:A811,A811)&gt;1</f>
        <v>0</v>
      </c>
      <c r="P811" t="b">
        <f t="shared" si="24"/>
        <v>1</v>
      </c>
      <c r="Q811" t="b">
        <f t="shared" si="25"/>
        <v>1</v>
      </c>
    </row>
    <row r="812" spans="1:17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  <c r="O812" t="b">
        <f>COUNTIF($A$2:A812,A812)&gt;1</f>
        <v>0</v>
      </c>
      <c r="P812" t="b">
        <f t="shared" si="24"/>
        <v>1</v>
      </c>
      <c r="Q812" t="b">
        <f t="shared" si="25"/>
        <v>1</v>
      </c>
    </row>
    <row r="813" spans="1:17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  <c r="O813" t="b">
        <f>COUNTIF($A$2:A813,A813)&gt;1</f>
        <v>0</v>
      </c>
      <c r="P813" t="b">
        <f t="shared" si="24"/>
        <v>1</v>
      </c>
      <c r="Q813" t="b">
        <f t="shared" si="25"/>
        <v>1</v>
      </c>
    </row>
    <row r="814" spans="1:17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  <c r="O814" t="b">
        <f>COUNTIF($A$2:A814,A814)&gt;1</f>
        <v>0</v>
      </c>
      <c r="P814" t="b">
        <f t="shared" si="24"/>
        <v>1</v>
      </c>
      <c r="Q814" t="b">
        <f t="shared" si="25"/>
        <v>1</v>
      </c>
    </row>
    <row r="815" spans="1:17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  <c r="O815" t="b">
        <f>COUNTIF($A$2:A815,A815)&gt;1</f>
        <v>0</v>
      </c>
      <c r="P815" t="b">
        <f t="shared" si="24"/>
        <v>1</v>
      </c>
      <c r="Q815" t="b">
        <f t="shared" si="25"/>
        <v>1</v>
      </c>
    </row>
    <row r="816" spans="1:17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  <c r="O816" t="b">
        <f>COUNTIF($A$2:A816,A816)&gt;1</f>
        <v>0</v>
      </c>
      <c r="P816" t="b">
        <f t="shared" si="24"/>
        <v>1</v>
      </c>
      <c r="Q816" t="b">
        <f t="shared" si="25"/>
        <v>1</v>
      </c>
    </row>
    <row r="817" spans="1:17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  <c r="O817" t="b">
        <f>COUNTIF($A$2:A817,A817)&gt;1</f>
        <v>0</v>
      </c>
      <c r="P817" t="b">
        <f t="shared" si="24"/>
        <v>1</v>
      </c>
      <c r="Q817" t="b">
        <f t="shared" si="25"/>
        <v>1</v>
      </c>
    </row>
    <row r="818" spans="1:17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  <c r="O818" t="b">
        <f>COUNTIF($A$2:A818,A818)&gt;1</f>
        <v>0</v>
      </c>
      <c r="P818" t="b">
        <f t="shared" si="24"/>
        <v>1</v>
      </c>
      <c r="Q818" t="b">
        <f t="shared" si="25"/>
        <v>1</v>
      </c>
    </row>
    <row r="819" spans="1:17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  <c r="O819" t="b">
        <f>COUNTIF($A$2:A819,A819)&gt;1</f>
        <v>0</v>
      </c>
      <c r="P819" t="b">
        <f t="shared" si="24"/>
        <v>1</v>
      </c>
      <c r="Q819" t="b">
        <f t="shared" si="25"/>
        <v>1</v>
      </c>
    </row>
    <row r="820" spans="1:17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  <c r="O820" t="b">
        <f>COUNTIF($A$2:A820,A820)&gt;1</f>
        <v>0</v>
      </c>
      <c r="P820" t="b">
        <f t="shared" si="24"/>
        <v>1</v>
      </c>
      <c r="Q820" t="b">
        <f t="shared" si="25"/>
        <v>1</v>
      </c>
    </row>
    <row r="821" spans="1:17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  <c r="O821" t="b">
        <f>COUNTIF($A$2:A821,A821)&gt;1</f>
        <v>0</v>
      </c>
      <c r="P821" t="b">
        <f t="shared" si="24"/>
        <v>1</v>
      </c>
      <c r="Q821" t="b">
        <f t="shared" si="25"/>
        <v>1</v>
      </c>
    </row>
    <row r="822" spans="1:17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  <c r="O822" t="b">
        <f>COUNTIF($A$2:A822,A822)&gt;1</f>
        <v>0</v>
      </c>
      <c r="P822" t="b">
        <f t="shared" si="24"/>
        <v>1</v>
      </c>
      <c r="Q822" t="b">
        <f t="shared" si="25"/>
        <v>1</v>
      </c>
    </row>
    <row r="823" spans="1:17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  <c r="O823" t="b">
        <f>COUNTIF($A$2:A823,A823)&gt;1</f>
        <v>0</v>
      </c>
      <c r="P823" t="b">
        <f t="shared" si="24"/>
        <v>1</v>
      </c>
      <c r="Q823" t="b">
        <f t="shared" si="25"/>
        <v>1</v>
      </c>
    </row>
    <row r="824" spans="1:17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  <c r="O824" t="b">
        <f>COUNTIF($A$2:A824,A824)&gt;1</f>
        <v>0</v>
      </c>
      <c r="P824" t="b">
        <f t="shared" si="24"/>
        <v>1</v>
      </c>
      <c r="Q824" t="b">
        <f t="shared" si="25"/>
        <v>1</v>
      </c>
    </row>
    <row r="825" spans="1:17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  <c r="O825" t="b">
        <f>COUNTIF($A$2:A825,A825)&gt;1</f>
        <v>0</v>
      </c>
      <c r="P825" t="b">
        <f t="shared" si="24"/>
        <v>1</v>
      </c>
      <c r="Q825" t="b">
        <f t="shared" si="25"/>
        <v>1</v>
      </c>
    </row>
    <row r="826" spans="1:17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  <c r="O826" t="b">
        <f>COUNTIF($A$2:A826,A826)&gt;1</f>
        <v>0</v>
      </c>
      <c r="P826" t="b">
        <f t="shared" si="24"/>
        <v>1</v>
      </c>
      <c r="Q826" t="b">
        <f t="shared" si="25"/>
        <v>1</v>
      </c>
    </row>
    <row r="827" spans="1:17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  <c r="O827" t="b">
        <f>COUNTIF($A$2:A827,A827)&gt;1</f>
        <v>0</v>
      </c>
      <c r="P827" t="b">
        <f t="shared" si="24"/>
        <v>1</v>
      </c>
      <c r="Q827" t="b">
        <f t="shared" si="25"/>
        <v>1</v>
      </c>
    </row>
    <row r="828" spans="1:17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  <c r="O828" t="b">
        <f>COUNTIF($A$2:A828,A828)&gt;1</f>
        <v>0</v>
      </c>
      <c r="P828" t="b">
        <f t="shared" si="24"/>
        <v>1</v>
      </c>
      <c r="Q828" t="b">
        <f t="shared" si="25"/>
        <v>1</v>
      </c>
    </row>
    <row r="829" spans="1:17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  <c r="O829" t="b">
        <f>COUNTIF($A$2:A829,A829)&gt;1</f>
        <v>0</v>
      </c>
      <c r="P829" t="b">
        <f t="shared" si="24"/>
        <v>1</v>
      </c>
      <c r="Q829" t="b">
        <f t="shared" si="25"/>
        <v>1</v>
      </c>
    </row>
    <row r="830" spans="1:17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  <c r="O830" t="b">
        <f>COUNTIF($A$2:A830,A830)&gt;1</f>
        <v>0</v>
      </c>
      <c r="P830" t="b">
        <f t="shared" si="24"/>
        <v>1</v>
      </c>
      <c r="Q830" t="b">
        <f t="shared" si="25"/>
        <v>1</v>
      </c>
    </row>
    <row r="831" spans="1:17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  <c r="O831" t="b">
        <f>COUNTIF($A$2:A831,A831)&gt;1</f>
        <v>0</v>
      </c>
      <c r="P831" t="b">
        <f t="shared" si="24"/>
        <v>1</v>
      </c>
      <c r="Q831" t="b">
        <f t="shared" si="25"/>
        <v>1</v>
      </c>
    </row>
    <row r="832" spans="1:17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  <c r="O832" t="b">
        <f>COUNTIF($A$2:A832,A832)&gt;1</f>
        <v>0</v>
      </c>
      <c r="P832" t="b">
        <f t="shared" si="24"/>
        <v>1</v>
      </c>
      <c r="Q832" t="b">
        <f t="shared" si="25"/>
        <v>1</v>
      </c>
    </row>
    <row r="833" spans="1:17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  <c r="O833" t="b">
        <f>COUNTIF($A$2:A833,A833)&gt;1</f>
        <v>0</v>
      </c>
      <c r="P833" t="b">
        <f t="shared" si="24"/>
        <v>1</v>
      </c>
      <c r="Q833" t="b">
        <f t="shared" si="25"/>
        <v>1</v>
      </c>
    </row>
    <row r="834" spans="1:17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  <c r="O834" t="b">
        <f>COUNTIF($A$2:A834,A834)&gt;1</f>
        <v>0</v>
      </c>
      <c r="P834" t="b">
        <f t="shared" ref="P834:P897" si="26">TRIM(H834)=H834</f>
        <v>1</v>
      </c>
      <c r="Q834" t="b">
        <f t="shared" ref="Q834:Q897" si="27">ROUND(E834*F834,2)=ROUND(N834,2)</f>
        <v>1</v>
      </c>
    </row>
    <row r="835" spans="1:17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  <c r="O835" t="b">
        <f>COUNTIF($A$2:A835,A835)&gt;1</f>
        <v>0</v>
      </c>
      <c r="P835" t="b">
        <f t="shared" si="26"/>
        <v>1</v>
      </c>
      <c r="Q835" t="b">
        <f t="shared" si="27"/>
        <v>1</v>
      </c>
    </row>
    <row r="836" spans="1:17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  <c r="O836" t="b">
        <f>COUNTIF($A$2:A836,A836)&gt;1</f>
        <v>0</v>
      </c>
      <c r="P836" t="b">
        <f t="shared" si="26"/>
        <v>1</v>
      </c>
      <c r="Q836" t="b">
        <f t="shared" si="27"/>
        <v>1</v>
      </c>
    </row>
    <row r="837" spans="1:17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  <c r="O837" t="b">
        <f>COUNTIF($A$2:A837,A837)&gt;1</f>
        <v>0</v>
      </c>
      <c r="P837" t="b">
        <f t="shared" si="26"/>
        <v>1</v>
      </c>
      <c r="Q837" t="b">
        <f t="shared" si="27"/>
        <v>1</v>
      </c>
    </row>
    <row r="838" spans="1:17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  <c r="O838" t="b">
        <f>COUNTIF($A$2:A838,A838)&gt;1</f>
        <v>0</v>
      </c>
      <c r="P838" t="b">
        <f t="shared" si="26"/>
        <v>1</v>
      </c>
      <c r="Q838" t="b">
        <f t="shared" si="27"/>
        <v>1</v>
      </c>
    </row>
    <row r="839" spans="1:17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  <c r="O839" t="b">
        <f>COUNTIF($A$2:A839,A839)&gt;1</f>
        <v>0</v>
      </c>
      <c r="P839" t="b">
        <f t="shared" si="26"/>
        <v>1</v>
      </c>
      <c r="Q839" t="b">
        <f t="shared" si="27"/>
        <v>1</v>
      </c>
    </row>
    <row r="840" spans="1:17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  <c r="O840" t="b">
        <f>COUNTIF($A$2:A840,A840)&gt;1</f>
        <v>0</v>
      </c>
      <c r="P840" t="b">
        <f t="shared" si="26"/>
        <v>1</v>
      </c>
      <c r="Q840" t="b">
        <f t="shared" si="27"/>
        <v>1</v>
      </c>
    </row>
    <row r="841" spans="1:17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  <c r="O841" t="b">
        <f>COUNTIF($A$2:A841,A841)&gt;1</f>
        <v>0</v>
      </c>
      <c r="P841" t="b">
        <f t="shared" si="26"/>
        <v>1</v>
      </c>
      <c r="Q841" t="b">
        <f t="shared" si="27"/>
        <v>1</v>
      </c>
    </row>
    <row r="842" spans="1:17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  <c r="O842" t="b">
        <f>COUNTIF($A$2:A842,A842)&gt;1</f>
        <v>0</v>
      </c>
      <c r="P842" t="b">
        <f t="shared" si="26"/>
        <v>1</v>
      </c>
      <c r="Q842" t="b">
        <f t="shared" si="27"/>
        <v>1</v>
      </c>
    </row>
    <row r="843" spans="1:17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  <c r="O843" t="b">
        <f>COUNTIF($A$2:A843,A843)&gt;1</f>
        <v>0</v>
      </c>
      <c r="P843" t="b">
        <f t="shared" si="26"/>
        <v>1</v>
      </c>
      <c r="Q843" t="b">
        <f t="shared" si="27"/>
        <v>1</v>
      </c>
    </row>
    <row r="844" spans="1:17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  <c r="O844" t="b">
        <f>COUNTIF($A$2:A844,A844)&gt;1</f>
        <v>0</v>
      </c>
      <c r="P844" t="b">
        <f t="shared" si="26"/>
        <v>1</v>
      </c>
      <c r="Q844" t="b">
        <f t="shared" si="27"/>
        <v>1</v>
      </c>
    </row>
    <row r="845" spans="1:17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  <c r="O845" t="b">
        <f>COUNTIF($A$2:A845,A845)&gt;1</f>
        <v>0</v>
      </c>
      <c r="P845" t="b">
        <f t="shared" si="26"/>
        <v>1</v>
      </c>
      <c r="Q845" t="b">
        <f t="shared" si="27"/>
        <v>1</v>
      </c>
    </row>
    <row r="846" spans="1:17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  <c r="O846" t="b">
        <f>COUNTIF($A$2:A846,A846)&gt;1</f>
        <v>0</v>
      </c>
      <c r="P846" t="b">
        <f t="shared" si="26"/>
        <v>1</v>
      </c>
      <c r="Q846" t="b">
        <f t="shared" si="27"/>
        <v>1</v>
      </c>
    </row>
    <row r="847" spans="1:17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  <c r="O847" t="b">
        <f>COUNTIF($A$2:A847,A847)&gt;1</f>
        <v>0</v>
      </c>
      <c r="P847" t="b">
        <f t="shared" si="26"/>
        <v>1</v>
      </c>
      <c r="Q847" t="b">
        <f t="shared" si="27"/>
        <v>1</v>
      </c>
    </row>
    <row r="848" spans="1:17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  <c r="O848" t="b">
        <f>COUNTIF($A$2:A848,A848)&gt;1</f>
        <v>0</v>
      </c>
      <c r="P848" t="b">
        <f t="shared" si="26"/>
        <v>1</v>
      </c>
      <c r="Q848" t="b">
        <f t="shared" si="27"/>
        <v>1</v>
      </c>
    </row>
    <row r="849" spans="1:17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  <c r="O849" t="b">
        <f>COUNTIF($A$2:A849,A849)&gt;1</f>
        <v>0</v>
      </c>
      <c r="P849" t="b">
        <f t="shared" si="26"/>
        <v>1</v>
      </c>
      <c r="Q849" t="b">
        <f t="shared" si="27"/>
        <v>1</v>
      </c>
    </row>
    <row r="850" spans="1:17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  <c r="O850" t="b">
        <f>COUNTIF($A$2:A850,A850)&gt;1</f>
        <v>0</v>
      </c>
      <c r="P850" t="b">
        <f t="shared" si="26"/>
        <v>1</v>
      </c>
      <c r="Q850" t="b">
        <f t="shared" si="27"/>
        <v>1</v>
      </c>
    </row>
    <row r="851" spans="1:17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  <c r="O851" t="b">
        <f>COUNTIF($A$2:A851,A851)&gt;1</f>
        <v>0</v>
      </c>
      <c r="P851" t="b">
        <f t="shared" si="26"/>
        <v>1</v>
      </c>
      <c r="Q851" t="b">
        <f t="shared" si="27"/>
        <v>1</v>
      </c>
    </row>
    <row r="852" spans="1:17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  <c r="O852" t="b">
        <f>COUNTIF($A$2:A852,A852)&gt;1</f>
        <v>0</v>
      </c>
      <c r="P852" t="b">
        <f t="shared" si="26"/>
        <v>1</v>
      </c>
      <c r="Q852" t="b">
        <f t="shared" si="27"/>
        <v>1</v>
      </c>
    </row>
    <row r="853" spans="1:17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  <c r="O853" t="b">
        <f>COUNTIF($A$2:A853,A853)&gt;1</f>
        <v>0</v>
      </c>
      <c r="P853" t="b">
        <f t="shared" si="26"/>
        <v>1</v>
      </c>
      <c r="Q853" t="b">
        <f t="shared" si="27"/>
        <v>1</v>
      </c>
    </row>
    <row r="854" spans="1:17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  <c r="O854" t="b">
        <f>COUNTIF($A$2:A854,A854)&gt;1</f>
        <v>0</v>
      </c>
      <c r="P854" t="b">
        <f t="shared" si="26"/>
        <v>1</v>
      </c>
      <c r="Q854" t="b">
        <f t="shared" si="27"/>
        <v>1</v>
      </c>
    </row>
    <row r="855" spans="1:17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  <c r="O855" t="b">
        <f>COUNTIF($A$2:A855,A855)&gt;1</f>
        <v>0</v>
      </c>
      <c r="P855" t="b">
        <f t="shared" si="26"/>
        <v>1</v>
      </c>
      <c r="Q855" t="b">
        <f t="shared" si="27"/>
        <v>1</v>
      </c>
    </row>
    <row r="856" spans="1:17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  <c r="O856" t="b">
        <f>COUNTIF($A$2:A856,A856)&gt;1</f>
        <v>0</v>
      </c>
      <c r="P856" t="b">
        <f t="shared" si="26"/>
        <v>1</v>
      </c>
      <c r="Q856" t="b">
        <f t="shared" si="27"/>
        <v>1</v>
      </c>
    </row>
    <row r="857" spans="1:17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  <c r="O857" t="b">
        <f>COUNTIF($A$2:A857,A857)&gt;1</f>
        <v>0</v>
      </c>
      <c r="P857" t="b">
        <f t="shared" si="26"/>
        <v>1</v>
      </c>
      <c r="Q857" t="b">
        <f t="shared" si="27"/>
        <v>1</v>
      </c>
    </row>
    <row r="858" spans="1:17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  <c r="O858" t="b">
        <f>COUNTIF($A$2:A858,A858)&gt;1</f>
        <v>0</v>
      </c>
      <c r="P858" t="b">
        <f t="shared" si="26"/>
        <v>1</v>
      </c>
      <c r="Q858" t="b">
        <f t="shared" si="27"/>
        <v>1</v>
      </c>
    </row>
    <row r="859" spans="1:17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  <c r="O859" t="b">
        <f>COUNTIF($A$2:A859,A859)&gt;1</f>
        <v>0</v>
      </c>
      <c r="P859" t="b">
        <f t="shared" si="26"/>
        <v>1</v>
      </c>
      <c r="Q859" t="b">
        <f t="shared" si="27"/>
        <v>1</v>
      </c>
    </row>
    <row r="860" spans="1:17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  <c r="O860" t="b">
        <f>COUNTIF($A$2:A860,A860)&gt;1</f>
        <v>0</v>
      </c>
      <c r="P860" t="b">
        <f t="shared" si="26"/>
        <v>1</v>
      </c>
      <c r="Q860" t="b">
        <f t="shared" si="27"/>
        <v>1</v>
      </c>
    </row>
    <row r="861" spans="1:17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  <c r="O861" t="b">
        <f>COUNTIF($A$2:A861,A861)&gt;1</f>
        <v>0</v>
      </c>
      <c r="P861" t="b">
        <f t="shared" si="26"/>
        <v>1</v>
      </c>
      <c r="Q861" t="b">
        <f t="shared" si="27"/>
        <v>1</v>
      </c>
    </row>
    <row r="862" spans="1:17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  <c r="O862" t="b">
        <f>COUNTIF($A$2:A862,A862)&gt;1</f>
        <v>0</v>
      </c>
      <c r="P862" t="b">
        <f t="shared" si="26"/>
        <v>1</v>
      </c>
      <c r="Q862" t="b">
        <f t="shared" si="27"/>
        <v>1</v>
      </c>
    </row>
    <row r="863" spans="1:17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  <c r="O863" t="b">
        <f>COUNTIF($A$2:A863,A863)&gt;1</f>
        <v>0</v>
      </c>
      <c r="P863" t="b">
        <f t="shared" si="26"/>
        <v>1</v>
      </c>
      <c r="Q863" t="b">
        <f t="shared" si="27"/>
        <v>1</v>
      </c>
    </row>
    <row r="864" spans="1:17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  <c r="O864" t="b">
        <f>COUNTIF($A$2:A864,A864)&gt;1</f>
        <v>0</v>
      </c>
      <c r="P864" t="b">
        <f t="shared" si="26"/>
        <v>1</v>
      </c>
      <c r="Q864" t="b">
        <f t="shared" si="27"/>
        <v>1</v>
      </c>
    </row>
    <row r="865" spans="1:17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  <c r="O865" t="b">
        <f>COUNTIF($A$2:A865,A865)&gt;1</f>
        <v>0</v>
      </c>
      <c r="P865" t="b">
        <f t="shared" si="26"/>
        <v>1</v>
      </c>
      <c r="Q865" t="b">
        <f t="shared" si="27"/>
        <v>1</v>
      </c>
    </row>
    <row r="866" spans="1:17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  <c r="O866" t="b">
        <f>COUNTIF($A$2:A866,A866)&gt;1</f>
        <v>0</v>
      </c>
      <c r="P866" t="b">
        <f t="shared" si="26"/>
        <v>1</v>
      </c>
      <c r="Q866" t="b">
        <f t="shared" si="27"/>
        <v>1</v>
      </c>
    </row>
    <row r="867" spans="1:17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  <c r="O867" t="b">
        <f>COUNTIF($A$2:A867,A867)&gt;1</f>
        <v>0</v>
      </c>
      <c r="P867" t="b">
        <f t="shared" si="26"/>
        <v>1</v>
      </c>
      <c r="Q867" t="b">
        <f t="shared" si="27"/>
        <v>1</v>
      </c>
    </row>
    <row r="868" spans="1:17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  <c r="O868" t="b">
        <f>COUNTIF($A$2:A868,A868)&gt;1</f>
        <v>0</v>
      </c>
      <c r="P868" t="b">
        <f t="shared" si="26"/>
        <v>1</v>
      </c>
      <c r="Q868" t="b">
        <f t="shared" si="27"/>
        <v>1</v>
      </c>
    </row>
    <row r="869" spans="1:17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  <c r="O869" t="b">
        <f>COUNTIF($A$2:A869,A869)&gt;1</f>
        <v>0</v>
      </c>
      <c r="P869" t="b">
        <f t="shared" si="26"/>
        <v>1</v>
      </c>
      <c r="Q869" t="b">
        <f t="shared" si="27"/>
        <v>1</v>
      </c>
    </row>
    <row r="870" spans="1:17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  <c r="O870" t="b">
        <f>COUNTIF($A$2:A870,A870)&gt;1</f>
        <v>0</v>
      </c>
      <c r="P870" t="b">
        <f t="shared" si="26"/>
        <v>1</v>
      </c>
      <c r="Q870" t="b">
        <f t="shared" si="27"/>
        <v>1</v>
      </c>
    </row>
    <row r="871" spans="1:17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  <c r="O871" t="b">
        <f>COUNTIF($A$2:A871,A871)&gt;1</f>
        <v>0</v>
      </c>
      <c r="P871" t="b">
        <f t="shared" si="26"/>
        <v>1</v>
      </c>
      <c r="Q871" t="b">
        <f t="shared" si="27"/>
        <v>1</v>
      </c>
    </row>
    <row r="872" spans="1:17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  <c r="O872" t="b">
        <f>COUNTIF($A$2:A872,A872)&gt;1</f>
        <v>0</v>
      </c>
      <c r="P872" t="b">
        <f t="shared" si="26"/>
        <v>1</v>
      </c>
      <c r="Q872" t="b">
        <f t="shared" si="27"/>
        <v>1</v>
      </c>
    </row>
    <row r="873" spans="1:17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  <c r="O873" t="b">
        <f>COUNTIF($A$2:A873,A873)&gt;1</f>
        <v>0</v>
      </c>
      <c r="P873" t="b">
        <f t="shared" si="26"/>
        <v>1</v>
      </c>
      <c r="Q873" t="b">
        <f t="shared" si="27"/>
        <v>1</v>
      </c>
    </row>
    <row r="874" spans="1:17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  <c r="O874" t="b">
        <f>COUNTIF($A$2:A874,A874)&gt;1</f>
        <v>0</v>
      </c>
      <c r="P874" t="b">
        <f t="shared" si="26"/>
        <v>1</v>
      </c>
      <c r="Q874" t="b">
        <f t="shared" si="27"/>
        <v>1</v>
      </c>
    </row>
    <row r="875" spans="1:17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  <c r="O875" t="b">
        <f>COUNTIF($A$2:A875,A875)&gt;1</f>
        <v>0</v>
      </c>
      <c r="P875" t="b">
        <f t="shared" si="26"/>
        <v>1</v>
      </c>
      <c r="Q875" t="b">
        <f t="shared" si="27"/>
        <v>1</v>
      </c>
    </row>
    <row r="876" spans="1:17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  <c r="O876" t="b">
        <f>COUNTIF($A$2:A876,A876)&gt;1</f>
        <v>0</v>
      </c>
      <c r="P876" t="b">
        <f t="shared" si="26"/>
        <v>1</v>
      </c>
      <c r="Q876" t="b">
        <f t="shared" si="27"/>
        <v>1</v>
      </c>
    </row>
    <row r="877" spans="1:17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  <c r="O877" t="b">
        <f>COUNTIF($A$2:A877,A877)&gt;1</f>
        <v>0</v>
      </c>
      <c r="P877" t="b">
        <f t="shared" si="26"/>
        <v>1</v>
      </c>
      <c r="Q877" t="b">
        <f t="shared" si="27"/>
        <v>1</v>
      </c>
    </row>
    <row r="878" spans="1:17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  <c r="O878" t="b">
        <f>COUNTIF($A$2:A878,A878)&gt;1</f>
        <v>0</v>
      </c>
      <c r="P878" t="b">
        <f t="shared" si="26"/>
        <v>1</v>
      </c>
      <c r="Q878" t="b">
        <f t="shared" si="27"/>
        <v>1</v>
      </c>
    </row>
    <row r="879" spans="1:17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  <c r="O879" t="b">
        <f>COUNTIF($A$2:A879,A879)&gt;1</f>
        <v>0</v>
      </c>
      <c r="P879" t="b">
        <f t="shared" si="26"/>
        <v>1</v>
      </c>
      <c r="Q879" t="b">
        <f t="shared" si="27"/>
        <v>1</v>
      </c>
    </row>
    <row r="880" spans="1:17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  <c r="O880" t="b">
        <f>COUNTIF($A$2:A880,A880)&gt;1</f>
        <v>0</v>
      </c>
      <c r="P880" t="b">
        <f t="shared" si="26"/>
        <v>1</v>
      </c>
      <c r="Q880" t="b">
        <f t="shared" si="27"/>
        <v>1</v>
      </c>
    </row>
    <row r="881" spans="1:17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  <c r="O881" t="b">
        <f>COUNTIF($A$2:A881,A881)&gt;1</f>
        <v>0</v>
      </c>
      <c r="P881" t="b">
        <f t="shared" si="26"/>
        <v>1</v>
      </c>
      <c r="Q881" t="b">
        <f t="shared" si="27"/>
        <v>1</v>
      </c>
    </row>
    <row r="882" spans="1:17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  <c r="O882" t="b">
        <f>COUNTIF($A$2:A882,A882)&gt;1</f>
        <v>0</v>
      </c>
      <c r="P882" t="b">
        <f t="shared" si="26"/>
        <v>1</v>
      </c>
      <c r="Q882" t="b">
        <f t="shared" si="27"/>
        <v>1</v>
      </c>
    </row>
    <row r="883" spans="1:17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  <c r="O883" t="b">
        <f>COUNTIF($A$2:A883,A883)&gt;1</f>
        <v>0</v>
      </c>
      <c r="P883" t="b">
        <f t="shared" si="26"/>
        <v>1</v>
      </c>
      <c r="Q883" t="b">
        <f t="shared" si="27"/>
        <v>1</v>
      </c>
    </row>
    <row r="884" spans="1:17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  <c r="O884" t="b">
        <f>COUNTIF($A$2:A884,A884)&gt;1</f>
        <v>0</v>
      </c>
      <c r="P884" t="b">
        <f t="shared" si="26"/>
        <v>1</v>
      </c>
      <c r="Q884" t="b">
        <f t="shared" si="27"/>
        <v>1</v>
      </c>
    </row>
    <row r="885" spans="1:17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  <c r="O885" t="b">
        <f>COUNTIF($A$2:A885,A885)&gt;1</f>
        <v>0</v>
      </c>
      <c r="P885" t="b">
        <f t="shared" si="26"/>
        <v>1</v>
      </c>
      <c r="Q885" t="b">
        <f t="shared" si="27"/>
        <v>1</v>
      </c>
    </row>
    <row r="886" spans="1:17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  <c r="O886" t="b">
        <f>COUNTIF($A$2:A886,A886)&gt;1</f>
        <v>0</v>
      </c>
      <c r="P886" t="b">
        <f t="shared" si="26"/>
        <v>1</v>
      </c>
      <c r="Q886" t="b">
        <f t="shared" si="27"/>
        <v>1</v>
      </c>
    </row>
    <row r="887" spans="1:17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  <c r="O887" t="b">
        <f>COUNTIF($A$2:A887,A887)&gt;1</f>
        <v>0</v>
      </c>
      <c r="P887" t="b">
        <f t="shared" si="26"/>
        <v>1</v>
      </c>
      <c r="Q887" t="b">
        <f t="shared" si="27"/>
        <v>1</v>
      </c>
    </row>
    <row r="888" spans="1:17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  <c r="O888" t="b">
        <f>COUNTIF($A$2:A888,A888)&gt;1</f>
        <v>0</v>
      </c>
      <c r="P888" t="b">
        <f t="shared" si="26"/>
        <v>1</v>
      </c>
      <c r="Q888" t="b">
        <f t="shared" si="27"/>
        <v>1</v>
      </c>
    </row>
    <row r="889" spans="1:17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  <c r="O889" t="b">
        <f>COUNTIF($A$2:A889,A889)&gt;1</f>
        <v>0</v>
      </c>
      <c r="P889" t="b">
        <f t="shared" si="26"/>
        <v>1</v>
      </c>
      <c r="Q889" t="b">
        <f t="shared" si="27"/>
        <v>1</v>
      </c>
    </row>
    <row r="890" spans="1:17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  <c r="O890" t="b">
        <f>COUNTIF($A$2:A890,A890)&gt;1</f>
        <v>0</v>
      </c>
      <c r="P890" t="b">
        <f t="shared" si="26"/>
        <v>1</v>
      </c>
      <c r="Q890" t="b">
        <f t="shared" si="27"/>
        <v>1</v>
      </c>
    </row>
    <row r="891" spans="1:17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  <c r="O891" t="b">
        <f>COUNTIF($A$2:A891,A891)&gt;1</f>
        <v>0</v>
      </c>
      <c r="P891" t="b">
        <f t="shared" si="26"/>
        <v>1</v>
      </c>
      <c r="Q891" t="b">
        <f t="shared" si="27"/>
        <v>1</v>
      </c>
    </row>
    <row r="892" spans="1:17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  <c r="O892" t="b">
        <f>COUNTIF($A$2:A892,A892)&gt;1</f>
        <v>0</v>
      </c>
      <c r="P892" t="b">
        <f t="shared" si="26"/>
        <v>1</v>
      </c>
      <c r="Q892" t="b">
        <f t="shared" si="27"/>
        <v>1</v>
      </c>
    </row>
    <row r="893" spans="1:17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  <c r="O893" t="b">
        <f>COUNTIF($A$2:A893,A893)&gt;1</f>
        <v>0</v>
      </c>
      <c r="P893" t="b">
        <f t="shared" si="26"/>
        <v>1</v>
      </c>
      <c r="Q893" t="b">
        <f t="shared" si="27"/>
        <v>1</v>
      </c>
    </row>
    <row r="894" spans="1:17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  <c r="O894" t="b">
        <f>COUNTIF($A$2:A894,A894)&gt;1</f>
        <v>0</v>
      </c>
      <c r="P894" t="b">
        <f t="shared" si="26"/>
        <v>1</v>
      </c>
      <c r="Q894" t="b">
        <f t="shared" si="27"/>
        <v>1</v>
      </c>
    </row>
    <row r="895" spans="1:17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  <c r="O895" t="b">
        <f>COUNTIF($A$2:A895,A895)&gt;1</f>
        <v>0</v>
      </c>
      <c r="P895" t="b">
        <f t="shared" si="26"/>
        <v>1</v>
      </c>
      <c r="Q895" t="b">
        <f t="shared" si="27"/>
        <v>1</v>
      </c>
    </row>
    <row r="896" spans="1:17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  <c r="O896" t="b">
        <f>COUNTIF($A$2:A896,A896)&gt;1</f>
        <v>0</v>
      </c>
      <c r="P896" t="b">
        <f t="shared" si="26"/>
        <v>1</v>
      </c>
      <c r="Q896" t="b">
        <f t="shared" si="27"/>
        <v>1</v>
      </c>
    </row>
    <row r="897" spans="1:17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  <c r="O897" t="b">
        <f>COUNTIF($A$2:A897,A897)&gt;1</f>
        <v>0</v>
      </c>
      <c r="P897" t="b">
        <f t="shared" si="26"/>
        <v>1</v>
      </c>
      <c r="Q897" t="b">
        <f t="shared" si="27"/>
        <v>1</v>
      </c>
    </row>
    <row r="898" spans="1:17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  <c r="O898" t="b">
        <f>COUNTIF($A$2:A898,A898)&gt;1</f>
        <v>0</v>
      </c>
      <c r="P898" t="b">
        <f t="shared" ref="P898:P961" si="28">TRIM(H898)=H898</f>
        <v>1</v>
      </c>
      <c r="Q898" t="b">
        <f t="shared" ref="Q898:Q961" si="29">ROUND(E898*F898,2)=ROUND(N898,2)</f>
        <v>1</v>
      </c>
    </row>
    <row r="899" spans="1:17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  <c r="O899" t="b">
        <f>COUNTIF($A$2:A899,A899)&gt;1</f>
        <v>0</v>
      </c>
      <c r="P899" t="b">
        <f t="shared" si="28"/>
        <v>1</v>
      </c>
      <c r="Q899" t="b">
        <f t="shared" si="29"/>
        <v>1</v>
      </c>
    </row>
    <row r="900" spans="1:17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  <c r="O900" t="b">
        <f>COUNTIF($A$2:A900,A900)&gt;1</f>
        <v>0</v>
      </c>
      <c r="P900" t="b">
        <f t="shared" si="28"/>
        <v>1</v>
      </c>
      <c r="Q900" t="b">
        <f t="shared" si="29"/>
        <v>1</v>
      </c>
    </row>
    <row r="901" spans="1:17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  <c r="O901" t="b">
        <f>COUNTIF($A$2:A901,A901)&gt;1</f>
        <v>0</v>
      </c>
      <c r="P901" t="b">
        <f t="shared" si="28"/>
        <v>1</v>
      </c>
      <c r="Q901" t="b">
        <f t="shared" si="29"/>
        <v>1</v>
      </c>
    </row>
    <row r="902" spans="1:17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  <c r="O902" t="b">
        <f>COUNTIF($A$2:A902,A902)&gt;1</f>
        <v>0</v>
      </c>
      <c r="P902" t="b">
        <f t="shared" si="28"/>
        <v>1</v>
      </c>
      <c r="Q902" t="b">
        <f t="shared" si="29"/>
        <v>1</v>
      </c>
    </row>
    <row r="903" spans="1:17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  <c r="O903" t="b">
        <f>COUNTIF($A$2:A903,A903)&gt;1</f>
        <v>0</v>
      </c>
      <c r="P903" t="b">
        <f t="shared" si="28"/>
        <v>1</v>
      </c>
      <c r="Q903" t="b">
        <f t="shared" si="29"/>
        <v>1</v>
      </c>
    </row>
    <row r="904" spans="1:17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  <c r="O904" t="b">
        <f>COUNTIF($A$2:A904,A904)&gt;1</f>
        <v>0</v>
      </c>
      <c r="P904" t="b">
        <f t="shared" si="28"/>
        <v>1</v>
      </c>
      <c r="Q904" t="b">
        <f t="shared" si="29"/>
        <v>1</v>
      </c>
    </row>
    <row r="905" spans="1:17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  <c r="O905" t="b">
        <f>COUNTIF($A$2:A905,A905)&gt;1</f>
        <v>0</v>
      </c>
      <c r="P905" t="b">
        <f t="shared" si="28"/>
        <v>1</v>
      </c>
      <c r="Q905" t="b">
        <f t="shared" si="29"/>
        <v>1</v>
      </c>
    </row>
    <row r="906" spans="1:17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  <c r="O906" t="b">
        <f>COUNTIF($A$2:A906,A906)&gt;1</f>
        <v>0</v>
      </c>
      <c r="P906" t="b">
        <f t="shared" si="28"/>
        <v>1</v>
      </c>
      <c r="Q906" t="b">
        <f t="shared" si="29"/>
        <v>1</v>
      </c>
    </row>
    <row r="907" spans="1:17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  <c r="O907" t="b">
        <f>COUNTIF($A$2:A907,A907)&gt;1</f>
        <v>0</v>
      </c>
      <c r="P907" t="b">
        <f t="shared" si="28"/>
        <v>1</v>
      </c>
      <c r="Q907" t="b">
        <f t="shared" si="29"/>
        <v>1</v>
      </c>
    </row>
    <row r="908" spans="1:17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  <c r="O908" t="b">
        <f>COUNTIF($A$2:A908,A908)&gt;1</f>
        <v>0</v>
      </c>
      <c r="P908" t="b">
        <f t="shared" si="28"/>
        <v>1</v>
      </c>
      <c r="Q908" t="b">
        <f t="shared" si="29"/>
        <v>1</v>
      </c>
    </row>
    <row r="909" spans="1:17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  <c r="O909" t="b">
        <f>COUNTIF($A$2:A909,A909)&gt;1</f>
        <v>0</v>
      </c>
      <c r="P909" t="b">
        <f t="shared" si="28"/>
        <v>1</v>
      </c>
      <c r="Q909" t="b">
        <f t="shared" si="29"/>
        <v>1</v>
      </c>
    </row>
    <row r="910" spans="1:17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  <c r="O910" t="b">
        <f>COUNTIF($A$2:A910,A910)&gt;1</f>
        <v>0</v>
      </c>
      <c r="P910" t="b">
        <f t="shared" si="28"/>
        <v>1</v>
      </c>
      <c r="Q910" t="b">
        <f t="shared" si="29"/>
        <v>1</v>
      </c>
    </row>
    <row r="911" spans="1:17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  <c r="O911" t="b">
        <f>COUNTIF($A$2:A911,A911)&gt;1</f>
        <v>0</v>
      </c>
      <c r="P911" t="b">
        <f t="shared" si="28"/>
        <v>1</v>
      </c>
      <c r="Q911" t="b">
        <f t="shared" si="29"/>
        <v>1</v>
      </c>
    </row>
    <row r="912" spans="1:17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  <c r="O912" t="b">
        <f>COUNTIF($A$2:A912,A912)&gt;1</f>
        <v>0</v>
      </c>
      <c r="P912" t="b">
        <f t="shared" si="28"/>
        <v>1</v>
      </c>
      <c r="Q912" t="b">
        <f t="shared" si="29"/>
        <v>1</v>
      </c>
    </row>
    <row r="913" spans="1:17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  <c r="O913" t="b">
        <f>COUNTIF($A$2:A913,A913)&gt;1</f>
        <v>0</v>
      </c>
      <c r="P913" t="b">
        <f t="shared" si="28"/>
        <v>1</v>
      </c>
      <c r="Q913" t="b">
        <f t="shared" si="29"/>
        <v>1</v>
      </c>
    </row>
    <row r="914" spans="1:17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  <c r="O914" t="b">
        <f>COUNTIF($A$2:A914,A914)&gt;1</f>
        <v>0</v>
      </c>
      <c r="P914" t="b">
        <f t="shared" si="28"/>
        <v>1</v>
      </c>
      <c r="Q914" t="b">
        <f t="shared" si="29"/>
        <v>1</v>
      </c>
    </row>
    <row r="915" spans="1:17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  <c r="O915" t="b">
        <f>COUNTIF($A$2:A915,A915)&gt;1</f>
        <v>0</v>
      </c>
      <c r="P915" t="b">
        <f t="shared" si="28"/>
        <v>1</v>
      </c>
      <c r="Q915" t="b">
        <f t="shared" si="29"/>
        <v>1</v>
      </c>
    </row>
    <row r="916" spans="1:17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  <c r="O916" t="b">
        <f>COUNTIF($A$2:A916,A916)&gt;1</f>
        <v>0</v>
      </c>
      <c r="P916" t="b">
        <f t="shared" si="28"/>
        <v>1</v>
      </c>
      <c r="Q916" t="b">
        <f t="shared" si="29"/>
        <v>1</v>
      </c>
    </row>
    <row r="917" spans="1:17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  <c r="O917" t="b">
        <f>COUNTIF($A$2:A917,A917)&gt;1</f>
        <v>0</v>
      </c>
      <c r="P917" t="b">
        <f t="shared" si="28"/>
        <v>1</v>
      </c>
      <c r="Q917" t="b">
        <f t="shared" si="29"/>
        <v>1</v>
      </c>
    </row>
    <row r="918" spans="1:17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  <c r="O918" t="b">
        <f>COUNTIF($A$2:A918,A918)&gt;1</f>
        <v>0</v>
      </c>
      <c r="P918" t="b">
        <f t="shared" si="28"/>
        <v>1</v>
      </c>
      <c r="Q918" t="b">
        <f t="shared" si="29"/>
        <v>1</v>
      </c>
    </row>
    <row r="919" spans="1:17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  <c r="O919" t="b">
        <f>COUNTIF($A$2:A919,A919)&gt;1</f>
        <v>0</v>
      </c>
      <c r="P919" t="b">
        <f t="shared" si="28"/>
        <v>1</v>
      </c>
      <c r="Q919" t="b">
        <f t="shared" si="29"/>
        <v>1</v>
      </c>
    </row>
    <row r="920" spans="1:17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  <c r="O920" t="b">
        <f>COUNTIF($A$2:A920,A920)&gt;1</f>
        <v>0</v>
      </c>
      <c r="P920" t="b">
        <f t="shared" si="28"/>
        <v>1</v>
      </c>
      <c r="Q920" t="b">
        <f t="shared" si="29"/>
        <v>1</v>
      </c>
    </row>
    <row r="921" spans="1:17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  <c r="O921" t="b">
        <f>COUNTIF($A$2:A921,A921)&gt;1</f>
        <v>0</v>
      </c>
      <c r="P921" t="b">
        <f t="shared" si="28"/>
        <v>1</v>
      </c>
      <c r="Q921" t="b">
        <f t="shared" si="29"/>
        <v>1</v>
      </c>
    </row>
    <row r="922" spans="1:17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  <c r="O922" t="b">
        <f>COUNTIF($A$2:A922,A922)&gt;1</f>
        <v>0</v>
      </c>
      <c r="P922" t="b">
        <f t="shared" si="28"/>
        <v>1</v>
      </c>
      <c r="Q922" t="b">
        <f t="shared" si="29"/>
        <v>1</v>
      </c>
    </row>
    <row r="923" spans="1:17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  <c r="O923" t="b">
        <f>COUNTIF($A$2:A923,A923)&gt;1</f>
        <v>0</v>
      </c>
      <c r="P923" t="b">
        <f t="shared" si="28"/>
        <v>1</v>
      </c>
      <c r="Q923" t="b">
        <f t="shared" si="29"/>
        <v>1</v>
      </c>
    </row>
    <row r="924" spans="1:17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  <c r="O924" t="b">
        <f>COUNTIF($A$2:A924,A924)&gt;1</f>
        <v>0</v>
      </c>
      <c r="P924" t="b">
        <f t="shared" si="28"/>
        <v>1</v>
      </c>
      <c r="Q924" t="b">
        <f t="shared" si="29"/>
        <v>1</v>
      </c>
    </row>
    <row r="925" spans="1:17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  <c r="O925" t="b">
        <f>COUNTIF($A$2:A925,A925)&gt;1</f>
        <v>0</v>
      </c>
      <c r="P925" t="b">
        <f t="shared" si="28"/>
        <v>1</v>
      </c>
      <c r="Q925" t="b">
        <f t="shared" si="29"/>
        <v>1</v>
      </c>
    </row>
    <row r="926" spans="1:17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  <c r="O926" t="b">
        <f>COUNTIF($A$2:A926,A926)&gt;1</f>
        <v>0</v>
      </c>
      <c r="P926" t="b">
        <f t="shared" si="28"/>
        <v>1</v>
      </c>
      <c r="Q926" t="b">
        <f t="shared" si="29"/>
        <v>1</v>
      </c>
    </row>
    <row r="927" spans="1:17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  <c r="O927" t="b">
        <f>COUNTIF($A$2:A927,A927)&gt;1</f>
        <v>0</v>
      </c>
      <c r="P927" t="b">
        <f t="shared" si="28"/>
        <v>1</v>
      </c>
      <c r="Q927" t="b">
        <f t="shared" si="29"/>
        <v>1</v>
      </c>
    </row>
    <row r="928" spans="1:17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  <c r="O928" t="b">
        <f>COUNTIF($A$2:A928,A928)&gt;1</f>
        <v>0</v>
      </c>
      <c r="P928" t="b">
        <f t="shared" si="28"/>
        <v>1</v>
      </c>
      <c r="Q928" t="b">
        <f t="shared" si="29"/>
        <v>1</v>
      </c>
    </row>
    <row r="929" spans="1:17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  <c r="O929" t="b">
        <f>COUNTIF($A$2:A929,A929)&gt;1</f>
        <v>0</v>
      </c>
      <c r="P929" t="b">
        <f t="shared" si="28"/>
        <v>1</v>
      </c>
      <c r="Q929" t="b">
        <f t="shared" si="29"/>
        <v>1</v>
      </c>
    </row>
    <row r="930" spans="1:17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  <c r="O930" t="b">
        <f>COUNTIF($A$2:A930,A930)&gt;1</f>
        <v>0</v>
      </c>
      <c r="P930" t="b">
        <f t="shared" si="28"/>
        <v>1</v>
      </c>
      <c r="Q930" t="b">
        <f t="shared" si="29"/>
        <v>1</v>
      </c>
    </row>
    <row r="931" spans="1:17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  <c r="O931" t="b">
        <f>COUNTIF($A$2:A931,A931)&gt;1</f>
        <v>0</v>
      </c>
      <c r="P931" t="b">
        <f t="shared" si="28"/>
        <v>1</v>
      </c>
      <c r="Q931" t="b">
        <f t="shared" si="29"/>
        <v>1</v>
      </c>
    </row>
    <row r="932" spans="1:17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  <c r="O932" t="b">
        <f>COUNTIF($A$2:A932,A932)&gt;1</f>
        <v>0</v>
      </c>
      <c r="P932" t="b">
        <f t="shared" si="28"/>
        <v>1</v>
      </c>
      <c r="Q932" t="b">
        <f t="shared" si="29"/>
        <v>1</v>
      </c>
    </row>
    <row r="933" spans="1:17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  <c r="O933" t="b">
        <f>COUNTIF($A$2:A933,A933)&gt;1</f>
        <v>0</v>
      </c>
      <c r="P933" t="b">
        <f t="shared" si="28"/>
        <v>1</v>
      </c>
      <c r="Q933" t="b">
        <f t="shared" si="29"/>
        <v>1</v>
      </c>
    </row>
    <row r="934" spans="1:17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  <c r="O934" t="b">
        <f>COUNTIF($A$2:A934,A934)&gt;1</f>
        <v>0</v>
      </c>
      <c r="P934" t="b">
        <f t="shared" si="28"/>
        <v>1</v>
      </c>
      <c r="Q934" t="b">
        <f t="shared" si="29"/>
        <v>1</v>
      </c>
    </row>
    <row r="935" spans="1:17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  <c r="O935" t="b">
        <f>COUNTIF($A$2:A935,A935)&gt;1</f>
        <v>0</v>
      </c>
      <c r="P935" t="b">
        <f t="shared" si="28"/>
        <v>1</v>
      </c>
      <c r="Q935" t="b">
        <f t="shared" si="29"/>
        <v>1</v>
      </c>
    </row>
    <row r="936" spans="1:17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  <c r="O936" t="b">
        <f>COUNTIF($A$2:A936,A936)&gt;1</f>
        <v>0</v>
      </c>
      <c r="P936" t="b">
        <f t="shared" si="28"/>
        <v>1</v>
      </c>
      <c r="Q936" t="b">
        <f t="shared" si="29"/>
        <v>1</v>
      </c>
    </row>
    <row r="937" spans="1:17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  <c r="O937" t="b">
        <f>COUNTIF($A$2:A937,A937)&gt;1</f>
        <v>0</v>
      </c>
      <c r="P937" t="b">
        <f t="shared" si="28"/>
        <v>1</v>
      </c>
      <c r="Q937" t="b">
        <f t="shared" si="29"/>
        <v>1</v>
      </c>
    </row>
    <row r="938" spans="1:17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  <c r="O938" t="b">
        <f>COUNTIF($A$2:A938,A938)&gt;1</f>
        <v>0</v>
      </c>
      <c r="P938" t="b">
        <f t="shared" si="28"/>
        <v>1</v>
      </c>
      <c r="Q938" t="b">
        <f t="shared" si="29"/>
        <v>1</v>
      </c>
    </row>
    <row r="939" spans="1:17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  <c r="O939" t="b">
        <f>COUNTIF($A$2:A939,A939)&gt;1</f>
        <v>0</v>
      </c>
      <c r="P939" t="b">
        <f t="shared" si="28"/>
        <v>1</v>
      </c>
      <c r="Q939" t="b">
        <f t="shared" si="29"/>
        <v>1</v>
      </c>
    </row>
    <row r="940" spans="1:17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  <c r="O940" t="b">
        <f>COUNTIF($A$2:A940,A940)&gt;1</f>
        <v>0</v>
      </c>
      <c r="P940" t="b">
        <f t="shared" si="28"/>
        <v>1</v>
      </c>
      <c r="Q940" t="b">
        <f t="shared" si="29"/>
        <v>1</v>
      </c>
    </row>
    <row r="941" spans="1:17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  <c r="O941" t="b">
        <f>COUNTIF($A$2:A941,A941)&gt;1</f>
        <v>0</v>
      </c>
      <c r="P941" t="b">
        <f t="shared" si="28"/>
        <v>1</v>
      </c>
      <c r="Q941" t="b">
        <f t="shared" si="29"/>
        <v>1</v>
      </c>
    </row>
    <row r="942" spans="1:17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  <c r="O942" t="b">
        <f>COUNTIF($A$2:A942,A942)&gt;1</f>
        <v>0</v>
      </c>
      <c r="P942" t="b">
        <f t="shared" si="28"/>
        <v>1</v>
      </c>
      <c r="Q942" t="b">
        <f t="shared" si="29"/>
        <v>1</v>
      </c>
    </row>
    <row r="943" spans="1:17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  <c r="O943" t="b">
        <f>COUNTIF($A$2:A943,A943)&gt;1</f>
        <v>0</v>
      </c>
      <c r="P943" t="b">
        <f t="shared" si="28"/>
        <v>1</v>
      </c>
      <c r="Q943" t="b">
        <f t="shared" si="29"/>
        <v>1</v>
      </c>
    </row>
    <row r="944" spans="1:17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  <c r="O944" t="b">
        <f>COUNTIF($A$2:A944,A944)&gt;1</f>
        <v>0</v>
      </c>
      <c r="P944" t="b">
        <f t="shared" si="28"/>
        <v>1</v>
      </c>
      <c r="Q944" t="b">
        <f t="shared" si="29"/>
        <v>1</v>
      </c>
    </row>
    <row r="945" spans="1:17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  <c r="O945" t="b">
        <f>COUNTIF($A$2:A945,A945)&gt;1</f>
        <v>0</v>
      </c>
      <c r="P945" t="b">
        <f t="shared" si="28"/>
        <v>1</v>
      </c>
      <c r="Q945" t="b">
        <f t="shared" si="29"/>
        <v>1</v>
      </c>
    </row>
    <row r="946" spans="1:17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  <c r="O946" t="b">
        <f>COUNTIF($A$2:A946,A946)&gt;1</f>
        <v>0</v>
      </c>
      <c r="P946" t="b">
        <f t="shared" si="28"/>
        <v>1</v>
      </c>
      <c r="Q946" t="b">
        <f t="shared" si="29"/>
        <v>1</v>
      </c>
    </row>
    <row r="947" spans="1:17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  <c r="O947" t="b">
        <f>COUNTIF($A$2:A947,A947)&gt;1</f>
        <v>0</v>
      </c>
      <c r="P947" t="b">
        <f t="shared" si="28"/>
        <v>1</v>
      </c>
      <c r="Q947" t="b">
        <f t="shared" si="29"/>
        <v>1</v>
      </c>
    </row>
    <row r="948" spans="1:17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  <c r="O948" t="b">
        <f>COUNTIF($A$2:A948,A948)&gt;1</f>
        <v>0</v>
      </c>
      <c r="P948" t="b">
        <f t="shared" si="28"/>
        <v>1</v>
      </c>
      <c r="Q948" t="b">
        <f t="shared" si="29"/>
        <v>1</v>
      </c>
    </row>
    <row r="949" spans="1:17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  <c r="O949" t="b">
        <f>COUNTIF($A$2:A949,A949)&gt;1</f>
        <v>0</v>
      </c>
      <c r="P949" t="b">
        <f t="shared" si="28"/>
        <v>1</v>
      </c>
      <c r="Q949" t="b">
        <f t="shared" si="29"/>
        <v>1</v>
      </c>
    </row>
    <row r="950" spans="1:17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  <c r="O950" t="b">
        <f>COUNTIF($A$2:A950,A950)&gt;1</f>
        <v>0</v>
      </c>
      <c r="P950" t="b">
        <f t="shared" si="28"/>
        <v>1</v>
      </c>
      <c r="Q950" t="b">
        <f t="shared" si="29"/>
        <v>1</v>
      </c>
    </row>
    <row r="951" spans="1:17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  <c r="O951" t="b">
        <f>COUNTIF($A$2:A951,A951)&gt;1</f>
        <v>0</v>
      </c>
      <c r="P951" t="b">
        <f t="shared" si="28"/>
        <v>1</v>
      </c>
      <c r="Q951" t="b">
        <f t="shared" si="29"/>
        <v>1</v>
      </c>
    </row>
    <row r="952" spans="1:17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  <c r="O952" t="b">
        <f>COUNTIF($A$2:A952,A952)&gt;1</f>
        <v>0</v>
      </c>
      <c r="P952" t="b">
        <f t="shared" si="28"/>
        <v>1</v>
      </c>
      <c r="Q952" t="b">
        <f t="shared" si="29"/>
        <v>1</v>
      </c>
    </row>
    <row r="953" spans="1:17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  <c r="O953" t="b">
        <f>COUNTIF($A$2:A953,A953)&gt;1</f>
        <v>0</v>
      </c>
      <c r="P953" t="b">
        <f t="shared" si="28"/>
        <v>1</v>
      </c>
      <c r="Q953" t="b">
        <f t="shared" si="29"/>
        <v>1</v>
      </c>
    </row>
    <row r="954" spans="1:17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  <c r="O954" t="b">
        <f>COUNTIF($A$2:A954,A954)&gt;1</f>
        <v>0</v>
      </c>
      <c r="P954" t="b">
        <f t="shared" si="28"/>
        <v>1</v>
      </c>
      <c r="Q954" t="b">
        <f t="shared" si="29"/>
        <v>1</v>
      </c>
    </row>
    <row r="955" spans="1:17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  <c r="O955" t="b">
        <f>COUNTIF($A$2:A955,A955)&gt;1</f>
        <v>0</v>
      </c>
      <c r="P955" t="b">
        <f t="shared" si="28"/>
        <v>1</v>
      </c>
      <c r="Q955" t="b">
        <f t="shared" si="29"/>
        <v>1</v>
      </c>
    </row>
    <row r="956" spans="1:17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  <c r="O956" t="b">
        <f>COUNTIF($A$2:A956,A956)&gt;1</f>
        <v>0</v>
      </c>
      <c r="P956" t="b">
        <f t="shared" si="28"/>
        <v>1</v>
      </c>
      <c r="Q956" t="b">
        <f t="shared" si="29"/>
        <v>1</v>
      </c>
    </row>
    <row r="957" spans="1:17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  <c r="O957" t="b">
        <f>COUNTIF($A$2:A957,A957)&gt;1</f>
        <v>0</v>
      </c>
      <c r="P957" t="b">
        <f t="shared" si="28"/>
        <v>1</v>
      </c>
      <c r="Q957" t="b">
        <f t="shared" si="29"/>
        <v>1</v>
      </c>
    </row>
    <row r="958" spans="1:17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  <c r="O958" t="b">
        <f>COUNTIF($A$2:A958,A958)&gt;1</f>
        <v>0</v>
      </c>
      <c r="P958" t="b">
        <f t="shared" si="28"/>
        <v>1</v>
      </c>
      <c r="Q958" t="b">
        <f t="shared" si="29"/>
        <v>1</v>
      </c>
    </row>
    <row r="959" spans="1:17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  <c r="O959" t="b">
        <f>COUNTIF($A$2:A959,A959)&gt;1</f>
        <v>0</v>
      </c>
      <c r="P959" t="b">
        <f t="shared" si="28"/>
        <v>1</v>
      </c>
      <c r="Q959" t="b">
        <f t="shared" si="29"/>
        <v>1</v>
      </c>
    </row>
    <row r="960" spans="1:17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  <c r="O960" t="b">
        <f>COUNTIF($A$2:A960,A960)&gt;1</f>
        <v>0</v>
      </c>
      <c r="P960" t="b">
        <f t="shared" si="28"/>
        <v>1</v>
      </c>
      <c r="Q960" t="b">
        <f t="shared" si="29"/>
        <v>1</v>
      </c>
    </row>
    <row r="961" spans="1:17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  <c r="O961" t="b">
        <f>COUNTIF($A$2:A961,A961)&gt;1</f>
        <v>0</v>
      </c>
      <c r="P961" t="b">
        <f t="shared" si="28"/>
        <v>1</v>
      </c>
      <c r="Q961" t="b">
        <f t="shared" si="29"/>
        <v>1</v>
      </c>
    </row>
    <row r="962" spans="1:17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  <c r="O962" t="b">
        <f>COUNTIF($A$2:A962,A962)&gt;1</f>
        <v>0</v>
      </c>
      <c r="P962" t="b">
        <f t="shared" ref="P962:P1025" si="30">TRIM(H962)=H962</f>
        <v>1</v>
      </c>
      <c r="Q962" t="b">
        <f t="shared" ref="Q962:Q1025" si="31">ROUND(E962*F962,2)=ROUND(N962,2)</f>
        <v>1</v>
      </c>
    </row>
    <row r="963" spans="1:17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  <c r="O963" t="b">
        <f>COUNTIF($A$2:A963,A963)&gt;1</f>
        <v>0</v>
      </c>
      <c r="P963" t="b">
        <f t="shared" si="30"/>
        <v>1</v>
      </c>
      <c r="Q963" t="b">
        <f t="shared" si="31"/>
        <v>1</v>
      </c>
    </row>
    <row r="964" spans="1:17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  <c r="O964" t="b">
        <f>COUNTIF($A$2:A964,A964)&gt;1</f>
        <v>0</v>
      </c>
      <c r="P964" t="b">
        <f t="shared" si="30"/>
        <v>1</v>
      </c>
      <c r="Q964" t="b">
        <f t="shared" si="31"/>
        <v>1</v>
      </c>
    </row>
    <row r="965" spans="1:17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  <c r="O965" t="b">
        <f>COUNTIF($A$2:A965,A965)&gt;1</f>
        <v>0</v>
      </c>
      <c r="P965" t="b">
        <f t="shared" si="30"/>
        <v>1</v>
      </c>
      <c r="Q965" t="b">
        <f t="shared" si="31"/>
        <v>1</v>
      </c>
    </row>
    <row r="966" spans="1:17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  <c r="O966" t="b">
        <f>COUNTIF($A$2:A966,A966)&gt;1</f>
        <v>0</v>
      </c>
      <c r="P966" t="b">
        <f t="shared" si="30"/>
        <v>1</v>
      </c>
      <c r="Q966" t="b">
        <f t="shared" si="31"/>
        <v>1</v>
      </c>
    </row>
    <row r="967" spans="1:17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  <c r="O967" t="b">
        <f>COUNTIF($A$2:A967,A967)&gt;1</f>
        <v>0</v>
      </c>
      <c r="P967" t="b">
        <f t="shared" si="30"/>
        <v>1</v>
      </c>
      <c r="Q967" t="b">
        <f t="shared" si="31"/>
        <v>1</v>
      </c>
    </row>
    <row r="968" spans="1:17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  <c r="O968" t="b">
        <f>COUNTIF($A$2:A968,A968)&gt;1</f>
        <v>0</v>
      </c>
      <c r="P968" t="b">
        <f t="shared" si="30"/>
        <v>1</v>
      </c>
      <c r="Q968" t="b">
        <f t="shared" si="31"/>
        <v>1</v>
      </c>
    </row>
    <row r="969" spans="1:17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  <c r="O969" t="b">
        <f>COUNTIF($A$2:A969,A969)&gt;1</f>
        <v>0</v>
      </c>
      <c r="P969" t="b">
        <f t="shared" si="30"/>
        <v>1</v>
      </c>
      <c r="Q969" t="b">
        <f t="shared" si="31"/>
        <v>1</v>
      </c>
    </row>
    <row r="970" spans="1:17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  <c r="O970" t="b">
        <f>COUNTIF($A$2:A970,A970)&gt;1</f>
        <v>0</v>
      </c>
      <c r="P970" t="b">
        <f t="shared" si="30"/>
        <v>1</v>
      </c>
      <c r="Q970" t="b">
        <f t="shared" si="31"/>
        <v>1</v>
      </c>
    </row>
    <row r="971" spans="1:17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  <c r="O971" t="b">
        <f>COUNTIF($A$2:A971,A971)&gt;1</f>
        <v>0</v>
      </c>
      <c r="P971" t="b">
        <f t="shared" si="30"/>
        <v>1</v>
      </c>
      <c r="Q971" t="b">
        <f t="shared" si="31"/>
        <v>1</v>
      </c>
    </row>
    <row r="972" spans="1:17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  <c r="O972" t="b">
        <f>COUNTIF($A$2:A972,A972)&gt;1</f>
        <v>0</v>
      </c>
      <c r="P972" t="b">
        <f t="shared" si="30"/>
        <v>1</v>
      </c>
      <c r="Q972" t="b">
        <f t="shared" si="31"/>
        <v>1</v>
      </c>
    </row>
    <row r="973" spans="1:17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  <c r="O973" t="b">
        <f>COUNTIF($A$2:A973,A973)&gt;1</f>
        <v>0</v>
      </c>
      <c r="P973" t="b">
        <f t="shared" si="30"/>
        <v>1</v>
      </c>
      <c r="Q973" t="b">
        <f t="shared" si="31"/>
        <v>1</v>
      </c>
    </row>
    <row r="974" spans="1:17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  <c r="O974" t="b">
        <f>COUNTIF($A$2:A974,A974)&gt;1</f>
        <v>0</v>
      </c>
      <c r="P974" t="b">
        <f t="shared" si="30"/>
        <v>1</v>
      </c>
      <c r="Q974" t="b">
        <f t="shared" si="31"/>
        <v>1</v>
      </c>
    </row>
    <row r="975" spans="1:17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  <c r="O975" t="b">
        <f>COUNTIF($A$2:A975,A975)&gt;1</f>
        <v>0</v>
      </c>
      <c r="P975" t="b">
        <f t="shared" si="30"/>
        <v>1</v>
      </c>
      <c r="Q975" t="b">
        <f t="shared" si="31"/>
        <v>1</v>
      </c>
    </row>
    <row r="976" spans="1:17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  <c r="O976" t="b">
        <f>COUNTIF($A$2:A976,A976)&gt;1</f>
        <v>0</v>
      </c>
      <c r="P976" t="b">
        <f t="shared" si="30"/>
        <v>1</v>
      </c>
      <c r="Q976" t="b">
        <f t="shared" si="31"/>
        <v>1</v>
      </c>
    </row>
    <row r="977" spans="1:17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  <c r="O977" t="b">
        <f>COUNTIF($A$2:A977,A977)&gt;1</f>
        <v>0</v>
      </c>
      <c r="P977" t="b">
        <f t="shared" si="30"/>
        <v>1</v>
      </c>
      <c r="Q977" t="b">
        <f t="shared" si="31"/>
        <v>1</v>
      </c>
    </row>
    <row r="978" spans="1:17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  <c r="O978" t="b">
        <f>COUNTIF($A$2:A978,A978)&gt;1</f>
        <v>0</v>
      </c>
      <c r="P978" t="b">
        <f t="shared" si="30"/>
        <v>1</v>
      </c>
      <c r="Q978" t="b">
        <f t="shared" si="31"/>
        <v>1</v>
      </c>
    </row>
    <row r="979" spans="1:17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  <c r="O979" t="b">
        <f>COUNTIF($A$2:A979,A979)&gt;1</f>
        <v>0</v>
      </c>
      <c r="P979" t="b">
        <f t="shared" si="30"/>
        <v>1</v>
      </c>
      <c r="Q979" t="b">
        <f t="shared" si="31"/>
        <v>1</v>
      </c>
    </row>
    <row r="980" spans="1:17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  <c r="O980" t="b">
        <f>COUNTIF($A$2:A980,A980)&gt;1</f>
        <v>0</v>
      </c>
      <c r="P980" t="b">
        <f t="shared" si="30"/>
        <v>1</v>
      </c>
      <c r="Q980" t="b">
        <f t="shared" si="31"/>
        <v>1</v>
      </c>
    </row>
    <row r="981" spans="1:17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  <c r="O981" t="b">
        <f>COUNTIF($A$2:A981,A981)&gt;1</f>
        <v>0</v>
      </c>
      <c r="P981" t="b">
        <f t="shared" si="30"/>
        <v>1</v>
      </c>
      <c r="Q981" t="b">
        <f t="shared" si="31"/>
        <v>1</v>
      </c>
    </row>
    <row r="982" spans="1:17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  <c r="O982" t="b">
        <f>COUNTIF($A$2:A982,A982)&gt;1</f>
        <v>0</v>
      </c>
      <c r="P982" t="b">
        <f t="shared" si="30"/>
        <v>1</v>
      </c>
      <c r="Q982" t="b">
        <f t="shared" si="31"/>
        <v>1</v>
      </c>
    </row>
    <row r="983" spans="1:17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  <c r="O983" t="b">
        <f>COUNTIF($A$2:A983,A983)&gt;1</f>
        <v>0</v>
      </c>
      <c r="P983" t="b">
        <f t="shared" si="30"/>
        <v>1</v>
      </c>
      <c r="Q983" t="b">
        <f t="shared" si="31"/>
        <v>1</v>
      </c>
    </row>
    <row r="984" spans="1:17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  <c r="O984" t="b">
        <f>COUNTIF($A$2:A984,A984)&gt;1</f>
        <v>0</v>
      </c>
      <c r="P984" t="b">
        <f t="shared" si="30"/>
        <v>1</v>
      </c>
      <c r="Q984" t="b">
        <f t="shared" si="31"/>
        <v>1</v>
      </c>
    </row>
    <row r="985" spans="1:17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  <c r="O985" t="b">
        <f>COUNTIF($A$2:A985,A985)&gt;1</f>
        <v>0</v>
      </c>
      <c r="P985" t="b">
        <f t="shared" si="30"/>
        <v>1</v>
      </c>
      <c r="Q985" t="b">
        <f t="shared" si="31"/>
        <v>1</v>
      </c>
    </row>
    <row r="986" spans="1:17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  <c r="O986" t="b">
        <f>COUNTIF($A$2:A986,A986)&gt;1</f>
        <v>0</v>
      </c>
      <c r="P986" t="b">
        <f t="shared" si="30"/>
        <v>1</v>
      </c>
      <c r="Q986" t="b">
        <f t="shared" si="31"/>
        <v>1</v>
      </c>
    </row>
    <row r="987" spans="1:17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  <c r="O987" t="b">
        <f>COUNTIF($A$2:A987,A987)&gt;1</f>
        <v>0</v>
      </c>
      <c r="P987" t="b">
        <f t="shared" si="30"/>
        <v>1</v>
      </c>
      <c r="Q987" t="b">
        <f t="shared" si="31"/>
        <v>1</v>
      </c>
    </row>
    <row r="988" spans="1:17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  <c r="O988" t="b">
        <f>COUNTIF($A$2:A988,A988)&gt;1</f>
        <v>0</v>
      </c>
      <c r="P988" t="b">
        <f t="shared" si="30"/>
        <v>1</v>
      </c>
      <c r="Q988" t="b">
        <f t="shared" si="31"/>
        <v>1</v>
      </c>
    </row>
    <row r="989" spans="1:17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  <c r="O989" t="b">
        <f>COUNTIF($A$2:A989,A989)&gt;1</f>
        <v>0</v>
      </c>
      <c r="P989" t="b">
        <f t="shared" si="30"/>
        <v>1</v>
      </c>
      <c r="Q989" t="b">
        <f t="shared" si="31"/>
        <v>1</v>
      </c>
    </row>
    <row r="990" spans="1:17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  <c r="O990" t="b">
        <f>COUNTIF($A$2:A990,A990)&gt;1</f>
        <v>0</v>
      </c>
      <c r="P990" t="b">
        <f t="shared" si="30"/>
        <v>1</v>
      </c>
      <c r="Q990" t="b">
        <f t="shared" si="31"/>
        <v>1</v>
      </c>
    </row>
    <row r="991" spans="1:17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  <c r="O991" t="b">
        <f>COUNTIF($A$2:A991,A991)&gt;1</f>
        <v>0</v>
      </c>
      <c r="P991" t="b">
        <f t="shared" si="30"/>
        <v>1</v>
      </c>
      <c r="Q991" t="b">
        <f t="shared" si="31"/>
        <v>1</v>
      </c>
    </row>
    <row r="992" spans="1:17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  <c r="O992" t="b">
        <f>COUNTIF($A$2:A992,A992)&gt;1</f>
        <v>0</v>
      </c>
      <c r="P992" t="b">
        <f t="shared" si="30"/>
        <v>1</v>
      </c>
      <c r="Q992" t="b">
        <f t="shared" si="31"/>
        <v>1</v>
      </c>
    </row>
    <row r="993" spans="1:17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  <c r="O993" t="b">
        <f>COUNTIF($A$2:A993,A993)&gt;1</f>
        <v>0</v>
      </c>
      <c r="P993" t="b">
        <f t="shared" si="30"/>
        <v>1</v>
      </c>
      <c r="Q993" t="b">
        <f t="shared" si="31"/>
        <v>1</v>
      </c>
    </row>
    <row r="994" spans="1:17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  <c r="O994" t="b">
        <f>COUNTIF($A$2:A994,A994)&gt;1</f>
        <v>0</v>
      </c>
      <c r="P994" t="b">
        <f t="shared" si="30"/>
        <v>1</v>
      </c>
      <c r="Q994" t="b">
        <f t="shared" si="31"/>
        <v>1</v>
      </c>
    </row>
    <row r="995" spans="1:17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  <c r="O995" t="b">
        <f>COUNTIF($A$2:A995,A995)&gt;1</f>
        <v>0</v>
      </c>
      <c r="P995" t="b">
        <f t="shared" si="30"/>
        <v>1</v>
      </c>
      <c r="Q995" t="b">
        <f t="shared" si="31"/>
        <v>1</v>
      </c>
    </row>
    <row r="996" spans="1:17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  <c r="O996" t="b">
        <f>COUNTIF($A$2:A996,A996)&gt;1</f>
        <v>0</v>
      </c>
      <c r="P996" t="b">
        <f t="shared" si="30"/>
        <v>1</v>
      </c>
      <c r="Q996" t="b">
        <f t="shared" si="31"/>
        <v>1</v>
      </c>
    </row>
    <row r="997" spans="1:17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  <c r="O997" t="b">
        <f>COUNTIF($A$2:A997,A997)&gt;1</f>
        <v>0</v>
      </c>
      <c r="P997" t="b">
        <f t="shared" si="30"/>
        <v>1</v>
      </c>
      <c r="Q997" t="b">
        <f t="shared" si="31"/>
        <v>1</v>
      </c>
    </row>
    <row r="998" spans="1:17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  <c r="O998" t="b">
        <f>COUNTIF($A$2:A998,A998)&gt;1</f>
        <v>0</v>
      </c>
      <c r="P998" t="b">
        <f t="shared" si="30"/>
        <v>1</v>
      </c>
      <c r="Q998" t="b">
        <f t="shared" si="31"/>
        <v>1</v>
      </c>
    </row>
    <row r="999" spans="1:17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  <c r="O999" t="b">
        <f>COUNTIF($A$2:A999,A999)&gt;1</f>
        <v>0</v>
      </c>
      <c r="P999" t="b">
        <f t="shared" si="30"/>
        <v>1</v>
      </c>
      <c r="Q999" t="b">
        <f t="shared" si="31"/>
        <v>1</v>
      </c>
    </row>
    <row r="1000" spans="1:17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  <c r="O1000" t="b">
        <f>COUNTIF($A$2:A1000,A1000)&gt;1</f>
        <v>0</v>
      </c>
      <c r="P1000" t="b">
        <f t="shared" si="30"/>
        <v>1</v>
      </c>
      <c r="Q1000" t="b">
        <f t="shared" si="31"/>
        <v>1</v>
      </c>
    </row>
    <row r="1001" spans="1:17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  <c r="O1001" t="b">
        <f>COUNTIF($A$2:A1001,A1001)&gt;1</f>
        <v>0</v>
      </c>
      <c r="P1001" t="b">
        <f t="shared" si="30"/>
        <v>1</v>
      </c>
      <c r="Q1001" t="b">
        <f t="shared" si="31"/>
        <v>1</v>
      </c>
    </row>
    <row r="1002" spans="1:17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  <c r="O1002" t="b">
        <f>COUNTIF($A$2:A1002,A1002)&gt;1</f>
        <v>0</v>
      </c>
      <c r="P1002" t="b">
        <f t="shared" si="30"/>
        <v>1</v>
      </c>
      <c r="Q1002" t="b">
        <f t="shared" si="31"/>
        <v>1</v>
      </c>
    </row>
    <row r="1003" spans="1:17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  <c r="O1003" t="b">
        <f>COUNTIF($A$2:A1003,A1003)&gt;1</f>
        <v>0</v>
      </c>
      <c r="P1003" t="b">
        <f t="shared" si="30"/>
        <v>1</v>
      </c>
      <c r="Q1003" t="b">
        <f t="shared" si="31"/>
        <v>1</v>
      </c>
    </row>
    <row r="1004" spans="1:17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  <c r="O1004" t="b">
        <f>COUNTIF($A$2:A1004,A1004)&gt;1</f>
        <v>0</v>
      </c>
      <c r="P1004" t="b">
        <f t="shared" si="30"/>
        <v>1</v>
      </c>
      <c r="Q1004" t="b">
        <f t="shared" si="31"/>
        <v>1</v>
      </c>
    </row>
    <row r="1005" spans="1:17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  <c r="O1005" t="b">
        <f>COUNTIF($A$2:A1005,A1005)&gt;1</f>
        <v>0</v>
      </c>
      <c r="P1005" t="b">
        <f t="shared" si="30"/>
        <v>1</v>
      </c>
      <c r="Q1005" t="b">
        <f t="shared" si="31"/>
        <v>1</v>
      </c>
    </row>
    <row r="1006" spans="1:17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  <c r="O1006" t="b">
        <f>COUNTIF($A$2:A1006,A1006)&gt;1</f>
        <v>0</v>
      </c>
      <c r="P1006" t="b">
        <f t="shared" si="30"/>
        <v>1</v>
      </c>
      <c r="Q1006" t="b">
        <f t="shared" si="31"/>
        <v>1</v>
      </c>
    </row>
    <row r="1007" spans="1:17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  <c r="O1007" t="b">
        <f>COUNTIF($A$2:A1007,A1007)&gt;1</f>
        <v>0</v>
      </c>
      <c r="P1007" t="b">
        <f t="shared" si="30"/>
        <v>1</v>
      </c>
      <c r="Q1007" t="b">
        <f t="shared" si="31"/>
        <v>1</v>
      </c>
    </row>
    <row r="1008" spans="1:17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  <c r="O1008" t="b">
        <f>COUNTIF($A$2:A1008,A1008)&gt;1</f>
        <v>0</v>
      </c>
      <c r="P1008" t="b">
        <f t="shared" si="30"/>
        <v>1</v>
      </c>
      <c r="Q1008" t="b">
        <f t="shared" si="31"/>
        <v>1</v>
      </c>
    </row>
    <row r="1009" spans="1:17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  <c r="O1009" t="b">
        <f>COUNTIF($A$2:A1009,A1009)&gt;1</f>
        <v>0</v>
      </c>
      <c r="P1009" t="b">
        <f t="shared" si="30"/>
        <v>1</v>
      </c>
      <c r="Q1009" t="b">
        <f t="shared" si="31"/>
        <v>1</v>
      </c>
    </row>
    <row r="1010" spans="1:17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  <c r="O1010" t="b">
        <f>COUNTIF($A$2:A1010,A1010)&gt;1</f>
        <v>0</v>
      </c>
      <c r="P1010" t="b">
        <f t="shared" si="30"/>
        <v>1</v>
      </c>
      <c r="Q1010" t="b">
        <f t="shared" si="31"/>
        <v>1</v>
      </c>
    </row>
    <row r="1011" spans="1:17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  <c r="O1011" t="b">
        <f>COUNTIF($A$2:A1011,A1011)&gt;1</f>
        <v>0</v>
      </c>
      <c r="P1011" t="b">
        <f t="shared" si="30"/>
        <v>1</v>
      </c>
      <c r="Q1011" t="b">
        <f t="shared" si="31"/>
        <v>1</v>
      </c>
    </row>
    <row r="1012" spans="1:17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  <c r="O1012" t="b">
        <f>COUNTIF($A$2:A1012,A1012)&gt;1</f>
        <v>0</v>
      </c>
      <c r="P1012" t="b">
        <f t="shared" si="30"/>
        <v>1</v>
      </c>
      <c r="Q1012" t="b">
        <f t="shared" si="31"/>
        <v>1</v>
      </c>
    </row>
    <row r="1013" spans="1:17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  <c r="O1013" t="b">
        <f>COUNTIF($A$2:A1013,A1013)&gt;1</f>
        <v>0</v>
      </c>
      <c r="P1013" t="b">
        <f t="shared" si="30"/>
        <v>1</v>
      </c>
      <c r="Q1013" t="b">
        <f t="shared" si="31"/>
        <v>1</v>
      </c>
    </row>
    <row r="1014" spans="1:17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  <c r="O1014" t="b">
        <f>COUNTIF($A$2:A1014,A1014)&gt;1</f>
        <v>0</v>
      </c>
      <c r="P1014" t="b">
        <f t="shared" si="30"/>
        <v>1</v>
      </c>
      <c r="Q1014" t="b">
        <f t="shared" si="31"/>
        <v>1</v>
      </c>
    </row>
    <row r="1015" spans="1:17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  <c r="O1015" t="b">
        <f>COUNTIF($A$2:A1015,A1015)&gt;1</f>
        <v>0</v>
      </c>
      <c r="P1015" t="b">
        <f t="shared" si="30"/>
        <v>1</v>
      </c>
      <c r="Q1015" t="b">
        <f t="shared" si="31"/>
        <v>1</v>
      </c>
    </row>
    <row r="1016" spans="1:17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  <c r="O1016" t="b">
        <f>COUNTIF($A$2:A1016,A1016)&gt;1</f>
        <v>0</v>
      </c>
      <c r="P1016" t="b">
        <f t="shared" si="30"/>
        <v>1</v>
      </c>
      <c r="Q1016" t="b">
        <f t="shared" si="31"/>
        <v>1</v>
      </c>
    </row>
    <row r="1017" spans="1:17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  <c r="O1017" t="b">
        <f>COUNTIF($A$2:A1017,A1017)&gt;1</f>
        <v>0</v>
      </c>
      <c r="P1017" t="b">
        <f t="shared" si="30"/>
        <v>1</v>
      </c>
      <c r="Q1017" t="b">
        <f t="shared" si="31"/>
        <v>1</v>
      </c>
    </row>
    <row r="1018" spans="1:17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  <c r="O1018" t="b">
        <f>COUNTIF($A$2:A1018,A1018)&gt;1</f>
        <v>0</v>
      </c>
      <c r="P1018" t="b">
        <f t="shared" si="30"/>
        <v>1</v>
      </c>
      <c r="Q1018" t="b">
        <f t="shared" si="31"/>
        <v>1</v>
      </c>
    </row>
    <row r="1019" spans="1:17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  <c r="O1019" t="b">
        <f>COUNTIF($A$2:A1019,A1019)&gt;1</f>
        <v>0</v>
      </c>
      <c r="P1019" t="b">
        <f t="shared" si="30"/>
        <v>1</v>
      </c>
      <c r="Q1019" t="b">
        <f t="shared" si="31"/>
        <v>1</v>
      </c>
    </row>
    <row r="1020" spans="1:17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547.43999999999994</v>
      </c>
      <c r="O1020" t="b">
        <f>COUNTIF($A$2:A1020,A1020)&gt;1</f>
        <v>0</v>
      </c>
      <c r="P1020" t="b">
        <f t="shared" si="30"/>
        <v>1</v>
      </c>
      <c r="Q1020" t="b">
        <f t="shared" si="31"/>
        <v>1</v>
      </c>
    </row>
    <row r="1021" spans="1:17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  <c r="O1021" t="b">
        <f>COUNTIF($A$2:A1021,A1021)&gt;1</f>
        <v>0</v>
      </c>
      <c r="P1021" t="b">
        <f t="shared" si="30"/>
        <v>1</v>
      </c>
      <c r="Q1021" t="b">
        <f t="shared" si="31"/>
        <v>1</v>
      </c>
    </row>
    <row r="1022" spans="1:17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  <c r="O1022" t="b">
        <f>COUNTIF($A$2:A1022,A1022)&gt;1</f>
        <v>0</v>
      </c>
      <c r="P1022" t="b">
        <f t="shared" si="30"/>
        <v>1</v>
      </c>
      <c r="Q1022" t="b">
        <f t="shared" si="31"/>
        <v>1</v>
      </c>
    </row>
    <row r="1023" spans="1:17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  <c r="O1023" t="b">
        <f>COUNTIF($A$2:A1023,A1023)&gt;1</f>
        <v>0</v>
      </c>
      <c r="P1023" t="b">
        <f t="shared" si="30"/>
        <v>1</v>
      </c>
      <c r="Q1023" t="b">
        <f t="shared" si="31"/>
        <v>1</v>
      </c>
    </row>
    <row r="1024" spans="1:17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  <c r="O1024" t="b">
        <f>COUNTIF($A$2:A1024,A1024)&gt;1</f>
        <v>0</v>
      </c>
      <c r="P1024" t="b">
        <f t="shared" si="30"/>
        <v>1</v>
      </c>
      <c r="Q1024" t="b">
        <f t="shared" si="31"/>
        <v>1</v>
      </c>
    </row>
    <row r="1025" spans="1:17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  <c r="O1025" t="b">
        <f>COUNTIF($A$2:A1025,A1025)&gt;1</f>
        <v>0</v>
      </c>
      <c r="P1025" t="b">
        <f t="shared" si="30"/>
        <v>1</v>
      </c>
      <c r="Q1025" t="b">
        <f t="shared" si="31"/>
        <v>1</v>
      </c>
    </row>
    <row r="1026" spans="1:17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  <c r="O1026" t="b">
        <f>COUNTIF($A$2:A1026,A1026)&gt;1</f>
        <v>0</v>
      </c>
      <c r="P1026" t="b">
        <f t="shared" ref="P1026:P1089" si="32">TRIM(H1026)=H1026</f>
        <v>1</v>
      </c>
      <c r="Q1026" t="b">
        <f t="shared" ref="Q1026:Q1089" si="33">ROUND(E1026*F1026,2)=ROUND(N1026,2)</f>
        <v>1</v>
      </c>
    </row>
    <row r="1027" spans="1:17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  <c r="O1027" t="b">
        <f>COUNTIF($A$2:A1027,A1027)&gt;1</f>
        <v>0</v>
      </c>
      <c r="P1027" t="b">
        <f t="shared" si="32"/>
        <v>1</v>
      </c>
      <c r="Q1027" t="b">
        <f t="shared" si="33"/>
        <v>1</v>
      </c>
    </row>
    <row r="1028" spans="1:17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  <c r="O1028" t="b">
        <f>COUNTIF($A$2:A1028,A1028)&gt;1</f>
        <v>0</v>
      </c>
      <c r="P1028" t="b">
        <f t="shared" si="32"/>
        <v>1</v>
      </c>
      <c r="Q1028" t="b">
        <f t="shared" si="33"/>
        <v>1</v>
      </c>
    </row>
    <row r="1029" spans="1:17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  <c r="O1029" t="b">
        <f>COUNTIF($A$2:A1029,A1029)&gt;1</f>
        <v>0</v>
      </c>
      <c r="P1029" t="b">
        <f t="shared" si="32"/>
        <v>1</v>
      </c>
      <c r="Q1029" t="b">
        <f t="shared" si="33"/>
        <v>1</v>
      </c>
    </row>
    <row r="1030" spans="1:17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  <c r="O1030" t="b">
        <f>COUNTIF($A$2:A1030,A1030)&gt;1</f>
        <v>0</v>
      </c>
      <c r="P1030" t="b">
        <f t="shared" si="32"/>
        <v>1</v>
      </c>
      <c r="Q1030" t="b">
        <f t="shared" si="33"/>
        <v>1</v>
      </c>
    </row>
    <row r="1031" spans="1:17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  <c r="O1031" t="b">
        <f>COUNTIF($A$2:A1031,A1031)&gt;1</f>
        <v>0</v>
      </c>
      <c r="P1031" t="b">
        <f t="shared" si="32"/>
        <v>1</v>
      </c>
      <c r="Q1031" t="b">
        <f t="shared" si="33"/>
        <v>1</v>
      </c>
    </row>
    <row r="1032" spans="1:17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  <c r="O1032" t="b">
        <f>COUNTIF($A$2:A1032,A1032)&gt;1</f>
        <v>0</v>
      </c>
      <c r="P1032" t="b">
        <f t="shared" si="32"/>
        <v>1</v>
      </c>
      <c r="Q1032" t="b">
        <f t="shared" si="33"/>
        <v>1</v>
      </c>
    </row>
    <row r="1033" spans="1:17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  <c r="O1033" t="b">
        <f>COUNTIF($A$2:A1033,A1033)&gt;1</f>
        <v>0</v>
      </c>
      <c r="P1033" t="b">
        <f t="shared" si="32"/>
        <v>1</v>
      </c>
      <c r="Q1033" t="b">
        <f t="shared" si="33"/>
        <v>1</v>
      </c>
    </row>
    <row r="1034" spans="1:17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  <c r="O1034" t="b">
        <f>COUNTIF($A$2:A1034,A1034)&gt;1</f>
        <v>0</v>
      </c>
      <c r="P1034" t="b">
        <f t="shared" si="32"/>
        <v>1</v>
      </c>
      <c r="Q1034" t="b">
        <f t="shared" si="33"/>
        <v>1</v>
      </c>
    </row>
    <row r="1035" spans="1:17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  <c r="O1035" t="b">
        <f>COUNTIF($A$2:A1035,A1035)&gt;1</f>
        <v>0</v>
      </c>
      <c r="P1035" t="b">
        <f t="shared" si="32"/>
        <v>1</v>
      </c>
      <c r="Q1035" t="b">
        <f t="shared" si="33"/>
        <v>1</v>
      </c>
    </row>
    <row r="1036" spans="1:17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  <c r="O1036" t="b">
        <f>COUNTIF($A$2:A1036,A1036)&gt;1</f>
        <v>0</v>
      </c>
      <c r="P1036" t="b">
        <f t="shared" si="32"/>
        <v>1</v>
      </c>
      <c r="Q1036" t="b">
        <f t="shared" si="33"/>
        <v>1</v>
      </c>
    </row>
    <row r="1037" spans="1:17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  <c r="O1037" t="b">
        <f>COUNTIF($A$2:A1037,A1037)&gt;1</f>
        <v>0</v>
      </c>
      <c r="P1037" t="b">
        <f t="shared" si="32"/>
        <v>1</v>
      </c>
      <c r="Q1037" t="b">
        <f t="shared" si="33"/>
        <v>1</v>
      </c>
    </row>
    <row r="1038" spans="1:17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  <c r="O1038" t="b">
        <f>COUNTIF($A$2:A1038,A1038)&gt;1</f>
        <v>0</v>
      </c>
      <c r="P1038" t="b">
        <f t="shared" si="32"/>
        <v>1</v>
      </c>
      <c r="Q1038" t="b">
        <f t="shared" si="33"/>
        <v>1</v>
      </c>
    </row>
    <row r="1039" spans="1:17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  <c r="O1039" t="b">
        <f>COUNTIF($A$2:A1039,A1039)&gt;1</f>
        <v>0</v>
      </c>
      <c r="P1039" t="b">
        <f t="shared" si="32"/>
        <v>1</v>
      </c>
      <c r="Q1039" t="b">
        <f t="shared" si="33"/>
        <v>1</v>
      </c>
    </row>
    <row r="1040" spans="1:17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  <c r="O1040" t="b">
        <f>COUNTIF($A$2:A1040,A1040)&gt;1</f>
        <v>0</v>
      </c>
      <c r="P1040" t="b">
        <f t="shared" si="32"/>
        <v>1</v>
      </c>
      <c r="Q1040" t="b">
        <f t="shared" si="33"/>
        <v>1</v>
      </c>
    </row>
    <row r="1041" spans="1:17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  <c r="O1041" t="b">
        <f>COUNTIF($A$2:A1041,A1041)&gt;1</f>
        <v>0</v>
      </c>
      <c r="P1041" t="b">
        <f t="shared" si="32"/>
        <v>1</v>
      </c>
      <c r="Q1041" t="b">
        <f t="shared" si="33"/>
        <v>1</v>
      </c>
    </row>
    <row r="1042" spans="1:17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  <c r="O1042" t="b">
        <f>COUNTIF($A$2:A1042,A1042)&gt;1</f>
        <v>0</v>
      </c>
      <c r="P1042" t="b">
        <f t="shared" si="32"/>
        <v>1</v>
      </c>
      <c r="Q1042" t="b">
        <f t="shared" si="33"/>
        <v>1</v>
      </c>
    </row>
    <row r="1043" spans="1:17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  <c r="O1043" t="b">
        <f>COUNTIF($A$2:A1043,A1043)&gt;1</f>
        <v>0</v>
      </c>
      <c r="P1043" t="b">
        <f t="shared" si="32"/>
        <v>1</v>
      </c>
      <c r="Q1043" t="b">
        <f t="shared" si="33"/>
        <v>1</v>
      </c>
    </row>
    <row r="1044" spans="1:17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  <c r="O1044" t="b">
        <f>COUNTIF($A$2:A1044,A1044)&gt;1</f>
        <v>0</v>
      </c>
      <c r="P1044" t="b">
        <f t="shared" si="32"/>
        <v>1</v>
      </c>
      <c r="Q1044" t="b">
        <f t="shared" si="33"/>
        <v>1</v>
      </c>
    </row>
    <row r="1045" spans="1:17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  <c r="O1045" t="b">
        <f>COUNTIF($A$2:A1045,A1045)&gt;1</f>
        <v>0</v>
      </c>
      <c r="P1045" t="b">
        <f t="shared" si="32"/>
        <v>1</v>
      </c>
      <c r="Q1045" t="b">
        <f t="shared" si="33"/>
        <v>1</v>
      </c>
    </row>
    <row r="1046" spans="1:17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  <c r="O1046" t="b">
        <f>COUNTIF($A$2:A1046,A1046)&gt;1</f>
        <v>0</v>
      </c>
      <c r="P1046" t="b">
        <f t="shared" si="32"/>
        <v>1</v>
      </c>
      <c r="Q1046" t="b">
        <f t="shared" si="33"/>
        <v>1</v>
      </c>
    </row>
    <row r="1047" spans="1:17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  <c r="O1047" t="b">
        <f>COUNTIF($A$2:A1047,A1047)&gt;1</f>
        <v>0</v>
      </c>
      <c r="P1047" t="b">
        <f t="shared" si="32"/>
        <v>1</v>
      </c>
      <c r="Q1047" t="b">
        <f t="shared" si="33"/>
        <v>1</v>
      </c>
    </row>
    <row r="1048" spans="1:17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  <c r="O1048" t="b">
        <f>COUNTIF($A$2:A1048,A1048)&gt;1</f>
        <v>0</v>
      </c>
      <c r="P1048" t="b">
        <f t="shared" si="32"/>
        <v>1</v>
      </c>
      <c r="Q1048" t="b">
        <f t="shared" si="33"/>
        <v>1</v>
      </c>
    </row>
    <row r="1049" spans="1:17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  <c r="O1049" t="b">
        <f>COUNTIF($A$2:A1049,A1049)&gt;1</f>
        <v>0</v>
      </c>
      <c r="P1049" t="b">
        <f t="shared" si="32"/>
        <v>1</v>
      </c>
      <c r="Q1049" t="b">
        <f t="shared" si="33"/>
        <v>1</v>
      </c>
    </row>
    <row r="1050" spans="1:17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  <c r="O1050" t="b">
        <f>COUNTIF($A$2:A1050,A1050)&gt;1</f>
        <v>0</v>
      </c>
      <c r="P1050" t="b">
        <f t="shared" si="32"/>
        <v>1</v>
      </c>
      <c r="Q1050" t="b">
        <f t="shared" si="33"/>
        <v>1</v>
      </c>
    </row>
    <row r="1051" spans="1:17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  <c r="O1051" t="b">
        <f>COUNTIF($A$2:A1051,A1051)&gt;1</f>
        <v>0</v>
      </c>
      <c r="P1051" t="b">
        <f t="shared" si="32"/>
        <v>1</v>
      </c>
      <c r="Q1051" t="b">
        <f t="shared" si="33"/>
        <v>1</v>
      </c>
    </row>
    <row r="1052" spans="1:17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  <c r="O1052" t="b">
        <f>COUNTIF($A$2:A1052,A1052)&gt;1</f>
        <v>0</v>
      </c>
      <c r="P1052" t="b">
        <f t="shared" si="32"/>
        <v>1</v>
      </c>
      <c r="Q1052" t="b">
        <f t="shared" si="33"/>
        <v>1</v>
      </c>
    </row>
    <row r="1053" spans="1:17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  <c r="O1053" t="b">
        <f>COUNTIF($A$2:A1053,A1053)&gt;1</f>
        <v>0</v>
      </c>
      <c r="P1053" t="b">
        <f t="shared" si="32"/>
        <v>1</v>
      </c>
      <c r="Q1053" t="b">
        <f t="shared" si="33"/>
        <v>1</v>
      </c>
    </row>
    <row r="1054" spans="1:17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  <c r="O1054" t="b">
        <f>COUNTIF($A$2:A1054,A1054)&gt;1</f>
        <v>0</v>
      </c>
      <c r="P1054" t="b">
        <f t="shared" si="32"/>
        <v>1</v>
      </c>
      <c r="Q1054" t="b">
        <f t="shared" si="33"/>
        <v>1</v>
      </c>
    </row>
    <row r="1055" spans="1:17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  <c r="O1055" t="b">
        <f>COUNTIF($A$2:A1055,A1055)&gt;1</f>
        <v>0</v>
      </c>
      <c r="P1055" t="b">
        <f t="shared" si="32"/>
        <v>1</v>
      </c>
      <c r="Q1055" t="b">
        <f t="shared" si="33"/>
        <v>1</v>
      </c>
    </row>
    <row r="1056" spans="1:17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  <c r="O1056" t="b">
        <f>COUNTIF($A$2:A1056,A1056)&gt;1</f>
        <v>0</v>
      </c>
      <c r="P1056" t="b">
        <f t="shared" si="32"/>
        <v>1</v>
      </c>
      <c r="Q1056" t="b">
        <f t="shared" si="33"/>
        <v>1</v>
      </c>
    </row>
    <row r="1057" spans="1:17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  <c r="O1057" t="b">
        <f>COUNTIF($A$2:A1057,A1057)&gt;1</f>
        <v>0</v>
      </c>
      <c r="P1057" t="b">
        <f t="shared" si="32"/>
        <v>1</v>
      </c>
      <c r="Q1057" t="b">
        <f t="shared" si="33"/>
        <v>1</v>
      </c>
    </row>
    <row r="1058" spans="1:17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  <c r="O1058" t="b">
        <f>COUNTIF($A$2:A1058,A1058)&gt;1</f>
        <v>0</v>
      </c>
      <c r="P1058" t="b">
        <f t="shared" si="32"/>
        <v>1</v>
      </c>
      <c r="Q1058" t="b">
        <f t="shared" si="33"/>
        <v>1</v>
      </c>
    </row>
    <row r="1059" spans="1:17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  <c r="O1059" t="b">
        <f>COUNTIF($A$2:A1059,A1059)&gt;1</f>
        <v>0</v>
      </c>
      <c r="P1059" t="b">
        <f t="shared" si="32"/>
        <v>1</v>
      </c>
      <c r="Q1059" t="b">
        <f t="shared" si="33"/>
        <v>1</v>
      </c>
    </row>
    <row r="1060" spans="1:17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  <c r="O1060" t="b">
        <f>COUNTIF($A$2:A1060,A1060)&gt;1</f>
        <v>0</v>
      </c>
      <c r="P1060" t="b">
        <f t="shared" si="32"/>
        <v>1</v>
      </c>
      <c r="Q1060" t="b">
        <f t="shared" si="33"/>
        <v>1</v>
      </c>
    </row>
    <row r="1061" spans="1:17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  <c r="O1061" t="b">
        <f>COUNTIF($A$2:A1061,A1061)&gt;1</f>
        <v>0</v>
      </c>
      <c r="P1061" t="b">
        <f t="shared" si="32"/>
        <v>1</v>
      </c>
      <c r="Q1061" t="b">
        <f t="shared" si="33"/>
        <v>1</v>
      </c>
    </row>
    <row r="1062" spans="1:17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  <c r="O1062" t="b">
        <f>COUNTIF($A$2:A1062,A1062)&gt;1</f>
        <v>0</v>
      </c>
      <c r="P1062" t="b">
        <f t="shared" si="32"/>
        <v>1</v>
      </c>
      <c r="Q1062" t="b">
        <f t="shared" si="33"/>
        <v>1</v>
      </c>
    </row>
    <row r="1063" spans="1:17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  <c r="O1063" t="b">
        <f>COUNTIF($A$2:A1063,A1063)&gt;1</f>
        <v>0</v>
      </c>
      <c r="P1063" t="b">
        <f t="shared" si="32"/>
        <v>1</v>
      </c>
      <c r="Q1063" t="b">
        <f t="shared" si="33"/>
        <v>1</v>
      </c>
    </row>
    <row r="1064" spans="1:17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  <c r="O1064" t="b">
        <f>COUNTIF($A$2:A1064,A1064)&gt;1</f>
        <v>0</v>
      </c>
      <c r="P1064" t="b">
        <f t="shared" si="32"/>
        <v>1</v>
      </c>
      <c r="Q1064" t="b">
        <f t="shared" si="33"/>
        <v>1</v>
      </c>
    </row>
    <row r="1065" spans="1:17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  <c r="O1065" t="b">
        <f>COUNTIF($A$2:A1065,A1065)&gt;1</f>
        <v>0</v>
      </c>
      <c r="P1065" t="b">
        <f t="shared" si="32"/>
        <v>1</v>
      </c>
      <c r="Q1065" t="b">
        <f t="shared" si="33"/>
        <v>1</v>
      </c>
    </row>
    <row r="1066" spans="1:17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  <c r="O1066" t="b">
        <f>COUNTIF($A$2:A1066,A1066)&gt;1</f>
        <v>0</v>
      </c>
      <c r="P1066" t="b">
        <f t="shared" si="32"/>
        <v>1</v>
      </c>
      <c r="Q1066" t="b">
        <f t="shared" si="33"/>
        <v>1</v>
      </c>
    </row>
    <row r="1067" spans="1:17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  <c r="O1067" t="b">
        <f>COUNTIF($A$2:A1067,A1067)&gt;1</f>
        <v>0</v>
      </c>
      <c r="P1067" t="b">
        <f t="shared" si="32"/>
        <v>1</v>
      </c>
      <c r="Q1067" t="b">
        <f t="shared" si="33"/>
        <v>1</v>
      </c>
    </row>
    <row r="1068" spans="1:17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  <c r="O1068" t="b">
        <f>COUNTIF($A$2:A1068,A1068)&gt;1</f>
        <v>0</v>
      </c>
      <c r="P1068" t="b">
        <f t="shared" si="32"/>
        <v>1</v>
      </c>
      <c r="Q1068" t="b">
        <f t="shared" si="33"/>
        <v>1</v>
      </c>
    </row>
    <row r="1069" spans="1:17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  <c r="O1069" t="b">
        <f>COUNTIF($A$2:A1069,A1069)&gt;1</f>
        <v>0</v>
      </c>
      <c r="P1069" t="b">
        <f t="shared" si="32"/>
        <v>1</v>
      </c>
      <c r="Q1069" t="b">
        <f t="shared" si="33"/>
        <v>1</v>
      </c>
    </row>
    <row r="1070" spans="1:17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  <c r="O1070" t="b">
        <f>COUNTIF($A$2:A1070,A1070)&gt;1</f>
        <v>0</v>
      </c>
      <c r="P1070" t="b">
        <f t="shared" si="32"/>
        <v>1</v>
      </c>
      <c r="Q1070" t="b">
        <f t="shared" si="33"/>
        <v>1</v>
      </c>
    </row>
    <row r="1071" spans="1:17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  <c r="O1071" t="b">
        <f>COUNTIF($A$2:A1071,A1071)&gt;1</f>
        <v>0</v>
      </c>
      <c r="P1071" t="b">
        <f t="shared" si="32"/>
        <v>1</v>
      </c>
      <c r="Q1071" t="b">
        <f t="shared" si="33"/>
        <v>1</v>
      </c>
    </row>
    <row r="1072" spans="1:17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  <c r="O1072" t="b">
        <f>COUNTIF($A$2:A1072,A1072)&gt;1</f>
        <v>0</v>
      </c>
      <c r="P1072" t="b">
        <f t="shared" si="32"/>
        <v>1</v>
      </c>
      <c r="Q1072" t="b">
        <f t="shared" si="33"/>
        <v>1</v>
      </c>
    </row>
    <row r="1073" spans="1:17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  <c r="O1073" t="b">
        <f>COUNTIF($A$2:A1073,A1073)&gt;1</f>
        <v>0</v>
      </c>
      <c r="P1073" t="b">
        <f t="shared" si="32"/>
        <v>1</v>
      </c>
      <c r="Q1073" t="b">
        <f t="shared" si="33"/>
        <v>1</v>
      </c>
    </row>
    <row r="1074" spans="1:17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  <c r="O1074" t="b">
        <f>COUNTIF($A$2:A1074,A1074)&gt;1</f>
        <v>0</v>
      </c>
      <c r="P1074" t="b">
        <f t="shared" si="32"/>
        <v>1</v>
      </c>
      <c r="Q1074" t="b">
        <f t="shared" si="33"/>
        <v>1</v>
      </c>
    </row>
    <row r="1075" spans="1:17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  <c r="O1075" t="b">
        <f>COUNTIF($A$2:A1075,A1075)&gt;1</f>
        <v>0</v>
      </c>
      <c r="P1075" t="b">
        <f t="shared" si="32"/>
        <v>1</v>
      </c>
      <c r="Q1075" t="b">
        <f t="shared" si="33"/>
        <v>1</v>
      </c>
    </row>
    <row r="1076" spans="1:17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  <c r="O1076" t="b">
        <f>COUNTIF($A$2:A1076,A1076)&gt;1</f>
        <v>0</v>
      </c>
      <c r="P1076" t="b">
        <f t="shared" si="32"/>
        <v>1</v>
      </c>
      <c r="Q1076" t="b">
        <f t="shared" si="33"/>
        <v>1</v>
      </c>
    </row>
    <row r="1077" spans="1:17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  <c r="O1077" t="b">
        <f>COUNTIF($A$2:A1077,A1077)&gt;1</f>
        <v>0</v>
      </c>
      <c r="P1077" t="b">
        <f t="shared" si="32"/>
        <v>1</v>
      </c>
      <c r="Q1077" t="b">
        <f t="shared" si="33"/>
        <v>1</v>
      </c>
    </row>
    <row r="1078" spans="1:17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  <c r="O1078" t="b">
        <f>COUNTIF($A$2:A1078,A1078)&gt;1</f>
        <v>0</v>
      </c>
      <c r="P1078" t="b">
        <f t="shared" si="32"/>
        <v>1</v>
      </c>
      <c r="Q1078" t="b">
        <f t="shared" si="33"/>
        <v>1</v>
      </c>
    </row>
    <row r="1079" spans="1:17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  <c r="O1079" t="b">
        <f>COUNTIF($A$2:A1079,A1079)&gt;1</f>
        <v>0</v>
      </c>
      <c r="P1079" t="b">
        <f t="shared" si="32"/>
        <v>1</v>
      </c>
      <c r="Q1079" t="b">
        <f t="shared" si="33"/>
        <v>1</v>
      </c>
    </row>
    <row r="1080" spans="1:17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  <c r="O1080" t="b">
        <f>COUNTIF($A$2:A1080,A1080)&gt;1</f>
        <v>0</v>
      </c>
      <c r="P1080" t="b">
        <f t="shared" si="32"/>
        <v>1</v>
      </c>
      <c r="Q1080" t="b">
        <f t="shared" si="33"/>
        <v>1</v>
      </c>
    </row>
    <row r="1081" spans="1:17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  <c r="O1081" t="b">
        <f>COUNTIF($A$2:A1081,A1081)&gt;1</f>
        <v>0</v>
      </c>
      <c r="P1081" t="b">
        <f t="shared" si="32"/>
        <v>1</v>
      </c>
      <c r="Q1081" t="b">
        <f t="shared" si="33"/>
        <v>1</v>
      </c>
    </row>
    <row r="1082" spans="1:17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  <c r="O1082" t="b">
        <f>COUNTIF($A$2:A1082,A1082)&gt;1</f>
        <v>0</v>
      </c>
      <c r="P1082" t="b">
        <f t="shared" si="32"/>
        <v>1</v>
      </c>
      <c r="Q1082" t="b">
        <f t="shared" si="33"/>
        <v>1</v>
      </c>
    </row>
    <row r="1083" spans="1:17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  <c r="O1083" t="b">
        <f>COUNTIF($A$2:A1083,A1083)&gt;1</f>
        <v>0</v>
      </c>
      <c r="P1083" t="b">
        <f t="shared" si="32"/>
        <v>1</v>
      </c>
      <c r="Q1083" t="b">
        <f t="shared" si="33"/>
        <v>1</v>
      </c>
    </row>
    <row r="1084" spans="1:17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  <c r="O1084" t="b">
        <f>COUNTIF($A$2:A1084,A1084)&gt;1</f>
        <v>0</v>
      </c>
      <c r="P1084" t="b">
        <f t="shared" si="32"/>
        <v>1</v>
      </c>
      <c r="Q1084" t="b">
        <f t="shared" si="33"/>
        <v>1</v>
      </c>
    </row>
    <row r="1085" spans="1:17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  <c r="O1085" t="b">
        <f>COUNTIF($A$2:A1085,A1085)&gt;1</f>
        <v>0</v>
      </c>
      <c r="P1085" t="b">
        <f t="shared" si="32"/>
        <v>1</v>
      </c>
      <c r="Q1085" t="b">
        <f t="shared" si="33"/>
        <v>1</v>
      </c>
    </row>
    <row r="1086" spans="1:17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  <c r="O1086" t="b">
        <f>COUNTIF($A$2:A1086,A1086)&gt;1</f>
        <v>0</v>
      </c>
      <c r="P1086" t="b">
        <f t="shared" si="32"/>
        <v>1</v>
      </c>
      <c r="Q1086" t="b">
        <f t="shared" si="33"/>
        <v>1</v>
      </c>
    </row>
    <row r="1087" spans="1:17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  <c r="O1087" t="b">
        <f>COUNTIF($A$2:A1087,A1087)&gt;1</f>
        <v>0</v>
      </c>
      <c r="P1087" t="b">
        <f t="shared" si="32"/>
        <v>1</v>
      </c>
      <c r="Q1087" t="b">
        <f t="shared" si="33"/>
        <v>1</v>
      </c>
    </row>
    <row r="1088" spans="1:17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  <c r="O1088" t="b">
        <f>COUNTIF($A$2:A1088,A1088)&gt;1</f>
        <v>0</v>
      </c>
      <c r="P1088" t="b">
        <f t="shared" si="32"/>
        <v>1</v>
      </c>
      <c r="Q1088" t="b">
        <f t="shared" si="33"/>
        <v>1</v>
      </c>
    </row>
    <row r="1089" spans="1:17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  <c r="O1089" t="b">
        <f>COUNTIF($A$2:A1089,A1089)&gt;1</f>
        <v>0</v>
      </c>
      <c r="P1089" t="b">
        <f t="shared" si="32"/>
        <v>1</v>
      </c>
      <c r="Q1089" t="b">
        <f t="shared" si="33"/>
        <v>1</v>
      </c>
    </row>
    <row r="1090" spans="1:17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  <c r="O1090" t="b">
        <f>COUNTIF($A$2:A1090,A1090)&gt;1</f>
        <v>0</v>
      </c>
      <c r="P1090" t="b">
        <f t="shared" ref="P1090:P1153" si="34">TRIM(H1090)=H1090</f>
        <v>1</v>
      </c>
      <c r="Q1090" t="b">
        <f t="shared" ref="Q1090:Q1153" si="35">ROUND(E1090*F1090,2)=ROUND(N1090,2)</f>
        <v>1</v>
      </c>
    </row>
    <row r="1091" spans="1:17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  <c r="O1091" t="b">
        <f>COUNTIF($A$2:A1091,A1091)&gt;1</f>
        <v>0</v>
      </c>
      <c r="P1091" t="b">
        <f t="shared" si="34"/>
        <v>1</v>
      </c>
      <c r="Q1091" t="b">
        <f t="shared" si="35"/>
        <v>1</v>
      </c>
    </row>
    <row r="1092" spans="1:17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  <c r="O1092" t="b">
        <f>COUNTIF($A$2:A1092,A1092)&gt;1</f>
        <v>0</v>
      </c>
      <c r="P1092" t="b">
        <f t="shared" si="34"/>
        <v>1</v>
      </c>
      <c r="Q1092" t="b">
        <f t="shared" si="35"/>
        <v>1</v>
      </c>
    </row>
    <row r="1093" spans="1:17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628.43999999999994</v>
      </c>
      <c r="O1093" t="b">
        <f>COUNTIF($A$2:A1093,A1093)&gt;1</f>
        <v>0</v>
      </c>
      <c r="P1093" t="b">
        <f t="shared" si="34"/>
        <v>1</v>
      </c>
      <c r="Q1093" t="b">
        <f t="shared" si="35"/>
        <v>1</v>
      </c>
    </row>
    <row r="1094" spans="1:17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  <c r="O1094" t="b">
        <f>COUNTIF($A$2:A1094,A1094)&gt;1</f>
        <v>0</v>
      </c>
      <c r="P1094" t="b">
        <f t="shared" si="34"/>
        <v>1</v>
      </c>
      <c r="Q1094" t="b">
        <f t="shared" si="35"/>
        <v>1</v>
      </c>
    </row>
    <row r="1095" spans="1:17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  <c r="O1095" t="b">
        <f>COUNTIF($A$2:A1095,A1095)&gt;1</f>
        <v>0</v>
      </c>
      <c r="P1095" t="b">
        <f t="shared" si="34"/>
        <v>1</v>
      </c>
      <c r="Q1095" t="b">
        <f t="shared" si="35"/>
        <v>1</v>
      </c>
    </row>
    <row r="1096" spans="1:17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  <c r="O1096" t="b">
        <f>COUNTIF($A$2:A1096,A1096)&gt;1</f>
        <v>0</v>
      </c>
      <c r="P1096" t="b">
        <f t="shared" si="34"/>
        <v>1</v>
      </c>
      <c r="Q1096" t="b">
        <f t="shared" si="35"/>
        <v>1</v>
      </c>
    </row>
    <row r="1097" spans="1:17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  <c r="O1097" t="b">
        <f>COUNTIF($A$2:A1097,A1097)&gt;1</f>
        <v>0</v>
      </c>
      <c r="P1097" t="b">
        <f t="shared" si="34"/>
        <v>1</v>
      </c>
      <c r="Q1097" t="b">
        <f t="shared" si="35"/>
        <v>1</v>
      </c>
    </row>
    <row r="1098" spans="1:17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  <c r="O1098" t="b">
        <f>COUNTIF($A$2:A1098,A1098)&gt;1</f>
        <v>0</v>
      </c>
      <c r="P1098" t="b">
        <f t="shared" si="34"/>
        <v>1</v>
      </c>
      <c r="Q1098" t="b">
        <f t="shared" si="35"/>
        <v>1</v>
      </c>
    </row>
    <row r="1099" spans="1:17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  <c r="O1099" t="b">
        <f>COUNTIF($A$2:A1099,A1099)&gt;1</f>
        <v>0</v>
      </c>
      <c r="P1099" t="b">
        <f t="shared" si="34"/>
        <v>1</v>
      </c>
      <c r="Q1099" t="b">
        <f t="shared" si="35"/>
        <v>1</v>
      </c>
    </row>
    <row r="1100" spans="1:17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  <c r="O1100" t="b">
        <f>COUNTIF($A$2:A1100,A1100)&gt;1</f>
        <v>0</v>
      </c>
      <c r="P1100" t="b">
        <f t="shared" si="34"/>
        <v>1</v>
      </c>
      <c r="Q1100" t="b">
        <f t="shared" si="35"/>
        <v>1</v>
      </c>
    </row>
    <row r="1101" spans="1:17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  <c r="O1101" t="b">
        <f>COUNTIF($A$2:A1101,A1101)&gt;1</f>
        <v>0</v>
      </c>
      <c r="P1101" t="b">
        <f t="shared" si="34"/>
        <v>1</v>
      </c>
      <c r="Q1101" t="b">
        <f t="shared" si="35"/>
        <v>1</v>
      </c>
    </row>
    <row r="1102" spans="1:17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  <c r="O1102" t="b">
        <f>COUNTIF($A$2:A1102,A1102)&gt;1</f>
        <v>0</v>
      </c>
      <c r="P1102" t="b">
        <f t="shared" si="34"/>
        <v>1</v>
      </c>
      <c r="Q1102" t="b">
        <f t="shared" si="35"/>
        <v>1</v>
      </c>
    </row>
    <row r="1103" spans="1:17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  <c r="O1103" t="b">
        <f>COUNTIF($A$2:A1103,A1103)&gt;1</f>
        <v>0</v>
      </c>
      <c r="P1103" t="b">
        <f t="shared" si="34"/>
        <v>1</v>
      </c>
      <c r="Q1103" t="b">
        <f t="shared" si="35"/>
        <v>1</v>
      </c>
    </row>
    <row r="1104" spans="1:17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  <c r="O1104" t="b">
        <f>COUNTIF($A$2:A1104,A1104)&gt;1</f>
        <v>0</v>
      </c>
      <c r="P1104" t="b">
        <f t="shared" si="34"/>
        <v>1</v>
      </c>
      <c r="Q1104" t="b">
        <f t="shared" si="35"/>
        <v>1</v>
      </c>
    </row>
    <row r="1105" spans="1:17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  <c r="O1105" t="b">
        <f>COUNTIF($A$2:A1105,A1105)&gt;1</f>
        <v>0</v>
      </c>
      <c r="P1105" t="b">
        <f t="shared" si="34"/>
        <v>1</v>
      </c>
      <c r="Q1105" t="b">
        <f t="shared" si="35"/>
        <v>1</v>
      </c>
    </row>
    <row r="1106" spans="1:17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  <c r="O1106" t="b">
        <f>COUNTIF($A$2:A1106,A1106)&gt;1</f>
        <v>0</v>
      </c>
      <c r="P1106" t="b">
        <f t="shared" si="34"/>
        <v>1</v>
      </c>
      <c r="Q1106" t="b">
        <f t="shared" si="35"/>
        <v>1</v>
      </c>
    </row>
    <row r="1107" spans="1:17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  <c r="O1107" t="b">
        <f>COUNTIF($A$2:A1107,A1107)&gt;1</f>
        <v>0</v>
      </c>
      <c r="P1107" t="b">
        <f t="shared" si="34"/>
        <v>1</v>
      </c>
      <c r="Q1107" t="b">
        <f t="shared" si="35"/>
        <v>1</v>
      </c>
    </row>
    <row r="1108" spans="1:17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  <c r="O1108" t="b">
        <f>COUNTIF($A$2:A1108,A1108)&gt;1</f>
        <v>0</v>
      </c>
      <c r="P1108" t="b">
        <f t="shared" si="34"/>
        <v>1</v>
      </c>
      <c r="Q1108" t="b">
        <f t="shared" si="35"/>
        <v>1</v>
      </c>
    </row>
    <row r="1109" spans="1:17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  <c r="O1109" t="b">
        <f>COUNTIF($A$2:A1109,A1109)&gt;1</f>
        <v>0</v>
      </c>
      <c r="P1109" t="b">
        <f t="shared" si="34"/>
        <v>1</v>
      </c>
      <c r="Q1109" t="b">
        <f t="shared" si="35"/>
        <v>1</v>
      </c>
    </row>
    <row r="1110" spans="1:17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  <c r="O1110" t="b">
        <f>COUNTIF($A$2:A1110,A1110)&gt;1</f>
        <v>0</v>
      </c>
      <c r="P1110" t="b">
        <f t="shared" si="34"/>
        <v>1</v>
      </c>
      <c r="Q1110" t="b">
        <f t="shared" si="35"/>
        <v>1</v>
      </c>
    </row>
    <row r="1111" spans="1:17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  <c r="O1111" t="b">
        <f>COUNTIF($A$2:A1111,A1111)&gt;1</f>
        <v>0</v>
      </c>
      <c r="P1111" t="b">
        <f t="shared" si="34"/>
        <v>1</v>
      </c>
      <c r="Q1111" t="b">
        <f t="shared" si="35"/>
        <v>1</v>
      </c>
    </row>
    <row r="1112" spans="1:17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  <c r="O1112" t="b">
        <f>COUNTIF($A$2:A1112,A1112)&gt;1</f>
        <v>0</v>
      </c>
      <c r="P1112" t="b">
        <f t="shared" si="34"/>
        <v>1</v>
      </c>
      <c r="Q1112" t="b">
        <f t="shared" si="35"/>
        <v>1</v>
      </c>
    </row>
    <row r="1113" spans="1:17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  <c r="O1113" t="b">
        <f>COUNTIF($A$2:A1113,A1113)&gt;1</f>
        <v>0</v>
      </c>
      <c r="P1113" t="b">
        <f t="shared" si="34"/>
        <v>1</v>
      </c>
      <c r="Q1113" t="b">
        <f t="shared" si="35"/>
        <v>1</v>
      </c>
    </row>
    <row r="1114" spans="1:17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  <c r="O1114" t="b">
        <f>COUNTIF($A$2:A1114,A1114)&gt;1</f>
        <v>0</v>
      </c>
      <c r="P1114" t="b">
        <f t="shared" si="34"/>
        <v>1</v>
      </c>
      <c r="Q1114" t="b">
        <f t="shared" si="35"/>
        <v>1</v>
      </c>
    </row>
    <row r="1115" spans="1:17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  <c r="O1115" t="b">
        <f>COUNTIF($A$2:A1115,A1115)&gt;1</f>
        <v>0</v>
      </c>
      <c r="P1115" t="b">
        <f t="shared" si="34"/>
        <v>1</v>
      </c>
      <c r="Q1115" t="b">
        <f t="shared" si="35"/>
        <v>1</v>
      </c>
    </row>
    <row r="1116" spans="1:17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  <c r="O1116" t="b">
        <f>COUNTIF($A$2:A1116,A1116)&gt;1</f>
        <v>0</v>
      </c>
      <c r="P1116" t="b">
        <f t="shared" si="34"/>
        <v>1</v>
      </c>
      <c r="Q1116" t="b">
        <f t="shared" si="35"/>
        <v>1</v>
      </c>
    </row>
    <row r="1117" spans="1:17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  <c r="O1117" t="b">
        <f>COUNTIF($A$2:A1117,A1117)&gt;1</f>
        <v>0</v>
      </c>
      <c r="P1117" t="b">
        <f t="shared" si="34"/>
        <v>1</v>
      </c>
      <c r="Q1117" t="b">
        <f t="shared" si="35"/>
        <v>1</v>
      </c>
    </row>
    <row r="1118" spans="1:17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  <c r="O1118" t="b">
        <f>COUNTIF($A$2:A1118,A1118)&gt;1</f>
        <v>0</v>
      </c>
      <c r="P1118" t="b">
        <f t="shared" si="34"/>
        <v>1</v>
      </c>
      <c r="Q1118" t="b">
        <f t="shared" si="35"/>
        <v>1</v>
      </c>
    </row>
    <row r="1119" spans="1:17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  <c r="O1119" t="b">
        <f>COUNTIF($A$2:A1119,A1119)&gt;1</f>
        <v>0</v>
      </c>
      <c r="P1119" t="b">
        <f t="shared" si="34"/>
        <v>1</v>
      </c>
      <c r="Q1119" t="b">
        <f t="shared" si="35"/>
        <v>1</v>
      </c>
    </row>
    <row r="1120" spans="1:17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754.43999999999994</v>
      </c>
      <c r="O1120" t="b">
        <f>COUNTIF($A$2:A1120,A1120)&gt;1</f>
        <v>0</v>
      </c>
      <c r="P1120" t="b">
        <f t="shared" si="34"/>
        <v>1</v>
      </c>
      <c r="Q1120" t="b">
        <f t="shared" si="35"/>
        <v>1</v>
      </c>
    </row>
    <row r="1121" spans="1:17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  <c r="O1121" t="b">
        <f>COUNTIF($A$2:A1121,A1121)&gt;1</f>
        <v>0</v>
      </c>
      <c r="P1121" t="b">
        <f t="shared" si="34"/>
        <v>1</v>
      </c>
      <c r="Q1121" t="b">
        <f t="shared" si="35"/>
        <v>1</v>
      </c>
    </row>
    <row r="1122" spans="1:17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  <c r="O1122" t="b">
        <f>COUNTIF($A$2:A1122,A1122)&gt;1</f>
        <v>0</v>
      </c>
      <c r="P1122" t="b">
        <f t="shared" si="34"/>
        <v>1</v>
      </c>
      <c r="Q1122" t="b">
        <f t="shared" si="35"/>
        <v>1</v>
      </c>
    </row>
    <row r="1123" spans="1:17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  <c r="O1123" t="b">
        <f>COUNTIF($A$2:A1123,A1123)&gt;1</f>
        <v>0</v>
      </c>
      <c r="P1123" t="b">
        <f t="shared" si="34"/>
        <v>1</v>
      </c>
      <c r="Q1123" t="b">
        <f t="shared" si="35"/>
        <v>1</v>
      </c>
    </row>
    <row r="1124" spans="1:17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  <c r="O1124" t="b">
        <f>COUNTIF($A$2:A1124,A1124)&gt;1</f>
        <v>0</v>
      </c>
      <c r="P1124" t="b">
        <f t="shared" si="34"/>
        <v>1</v>
      </c>
      <c r="Q1124" t="b">
        <f t="shared" si="35"/>
        <v>1</v>
      </c>
    </row>
    <row r="1125" spans="1:17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  <c r="O1125" t="b">
        <f>COUNTIF($A$2:A1125,A1125)&gt;1</f>
        <v>0</v>
      </c>
      <c r="P1125" t="b">
        <f t="shared" si="34"/>
        <v>1</v>
      </c>
      <c r="Q1125" t="b">
        <f t="shared" si="35"/>
        <v>1</v>
      </c>
    </row>
    <row r="1126" spans="1:17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  <c r="O1126" t="b">
        <f>COUNTIF($A$2:A1126,A1126)&gt;1</f>
        <v>0</v>
      </c>
      <c r="P1126" t="b">
        <f t="shared" si="34"/>
        <v>1</v>
      </c>
      <c r="Q1126" t="b">
        <f t="shared" si="35"/>
        <v>1</v>
      </c>
    </row>
    <row r="1127" spans="1:17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  <c r="O1127" t="b">
        <f>COUNTIF($A$2:A1127,A1127)&gt;1</f>
        <v>0</v>
      </c>
      <c r="P1127" t="b">
        <f t="shared" si="34"/>
        <v>1</v>
      </c>
      <c r="Q1127" t="b">
        <f t="shared" si="35"/>
        <v>1</v>
      </c>
    </row>
    <row r="1128" spans="1:17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  <c r="O1128" t="b">
        <f>COUNTIF($A$2:A1128,A1128)&gt;1</f>
        <v>0</v>
      </c>
      <c r="P1128" t="b">
        <f t="shared" si="34"/>
        <v>1</v>
      </c>
      <c r="Q1128" t="b">
        <f t="shared" si="35"/>
        <v>1</v>
      </c>
    </row>
    <row r="1129" spans="1:17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  <c r="O1129" t="b">
        <f>COUNTIF($A$2:A1129,A1129)&gt;1</f>
        <v>0</v>
      </c>
      <c r="P1129" t="b">
        <f t="shared" si="34"/>
        <v>1</v>
      </c>
      <c r="Q1129" t="b">
        <f t="shared" si="35"/>
        <v>1</v>
      </c>
    </row>
    <row r="1130" spans="1:17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  <c r="O1130" t="b">
        <f>COUNTIF($A$2:A1130,A1130)&gt;1</f>
        <v>0</v>
      </c>
      <c r="P1130" t="b">
        <f t="shared" si="34"/>
        <v>1</v>
      </c>
      <c r="Q1130" t="b">
        <f t="shared" si="35"/>
        <v>1</v>
      </c>
    </row>
    <row r="1131" spans="1:17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  <c r="O1131" t="b">
        <f>COUNTIF($A$2:A1131,A1131)&gt;1</f>
        <v>0</v>
      </c>
      <c r="P1131" t="b">
        <f t="shared" si="34"/>
        <v>1</v>
      </c>
      <c r="Q1131" t="b">
        <f t="shared" si="35"/>
        <v>1</v>
      </c>
    </row>
    <row r="1132" spans="1:17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  <c r="O1132" t="b">
        <f>COUNTIF($A$2:A1132,A1132)&gt;1</f>
        <v>0</v>
      </c>
      <c r="P1132" t="b">
        <f t="shared" si="34"/>
        <v>1</v>
      </c>
      <c r="Q1132" t="b">
        <f t="shared" si="35"/>
        <v>1</v>
      </c>
    </row>
    <row r="1133" spans="1:17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  <c r="O1133" t="b">
        <f>COUNTIF($A$2:A1133,A1133)&gt;1</f>
        <v>0</v>
      </c>
      <c r="P1133" t="b">
        <f t="shared" si="34"/>
        <v>1</v>
      </c>
      <c r="Q1133" t="b">
        <f t="shared" si="35"/>
        <v>1</v>
      </c>
    </row>
    <row r="1134" spans="1:17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  <c r="O1134" t="b">
        <f>COUNTIF($A$2:A1134,A1134)&gt;1</f>
        <v>0</v>
      </c>
      <c r="P1134" t="b">
        <f t="shared" si="34"/>
        <v>1</v>
      </c>
      <c r="Q1134" t="b">
        <f t="shared" si="35"/>
        <v>1</v>
      </c>
    </row>
    <row r="1135" spans="1:17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  <c r="O1135" t="b">
        <f>COUNTIF($A$2:A1135,A1135)&gt;1</f>
        <v>0</v>
      </c>
      <c r="P1135" t="b">
        <f t="shared" si="34"/>
        <v>1</v>
      </c>
      <c r="Q1135" t="b">
        <f t="shared" si="35"/>
        <v>1</v>
      </c>
    </row>
    <row r="1136" spans="1:17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  <c r="O1136" t="b">
        <f>COUNTIF($A$2:A1136,A1136)&gt;1</f>
        <v>0</v>
      </c>
      <c r="P1136" t="b">
        <f t="shared" si="34"/>
        <v>1</v>
      </c>
      <c r="Q1136" t="b">
        <f t="shared" si="35"/>
        <v>1</v>
      </c>
    </row>
    <row r="1137" spans="1:17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  <c r="O1137" t="b">
        <f>COUNTIF($A$2:A1137,A1137)&gt;1</f>
        <v>0</v>
      </c>
      <c r="P1137" t="b">
        <f t="shared" si="34"/>
        <v>1</v>
      </c>
      <c r="Q1137" t="b">
        <f t="shared" si="35"/>
        <v>1</v>
      </c>
    </row>
    <row r="1138" spans="1:17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  <c r="O1138" t="b">
        <f>COUNTIF($A$2:A1138,A1138)&gt;1</f>
        <v>0</v>
      </c>
      <c r="P1138" t="b">
        <f t="shared" si="34"/>
        <v>1</v>
      </c>
      <c r="Q1138" t="b">
        <f t="shared" si="35"/>
        <v>1</v>
      </c>
    </row>
    <row r="1139" spans="1:17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  <c r="O1139" t="b">
        <f>COUNTIF($A$2:A1139,A1139)&gt;1</f>
        <v>0</v>
      </c>
      <c r="P1139" t="b">
        <f t="shared" si="34"/>
        <v>1</v>
      </c>
      <c r="Q1139" t="b">
        <f t="shared" si="35"/>
        <v>1</v>
      </c>
    </row>
    <row r="1140" spans="1:17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  <c r="O1140" t="b">
        <f>COUNTIF($A$2:A1140,A1140)&gt;1</f>
        <v>0</v>
      </c>
      <c r="P1140" t="b">
        <f t="shared" si="34"/>
        <v>1</v>
      </c>
      <c r="Q1140" t="b">
        <f t="shared" si="35"/>
        <v>1</v>
      </c>
    </row>
    <row r="1141" spans="1:17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  <c r="O1141" t="b">
        <f>COUNTIF($A$2:A1141,A1141)&gt;1</f>
        <v>0</v>
      </c>
      <c r="P1141" t="b">
        <f t="shared" si="34"/>
        <v>1</v>
      </c>
      <c r="Q1141" t="b">
        <f t="shared" si="35"/>
        <v>1</v>
      </c>
    </row>
    <row r="1142" spans="1:17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  <c r="O1142" t="b">
        <f>COUNTIF($A$2:A1142,A1142)&gt;1</f>
        <v>0</v>
      </c>
      <c r="P1142" t="b">
        <f t="shared" si="34"/>
        <v>1</v>
      </c>
      <c r="Q1142" t="b">
        <f t="shared" si="35"/>
        <v>1</v>
      </c>
    </row>
    <row r="1143" spans="1:17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  <c r="O1143" t="b">
        <f>COUNTIF($A$2:A1143,A1143)&gt;1</f>
        <v>0</v>
      </c>
      <c r="P1143" t="b">
        <f t="shared" si="34"/>
        <v>1</v>
      </c>
      <c r="Q1143" t="b">
        <f t="shared" si="35"/>
        <v>1</v>
      </c>
    </row>
    <row r="1144" spans="1:17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  <c r="O1144" t="b">
        <f>COUNTIF($A$2:A1144,A1144)&gt;1</f>
        <v>0</v>
      </c>
      <c r="P1144" t="b">
        <f t="shared" si="34"/>
        <v>1</v>
      </c>
      <c r="Q1144" t="b">
        <f t="shared" si="35"/>
        <v>1</v>
      </c>
    </row>
    <row r="1145" spans="1:17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  <c r="O1145" t="b">
        <f>COUNTIF($A$2:A1145,A1145)&gt;1</f>
        <v>0</v>
      </c>
      <c r="P1145" t="b">
        <f t="shared" si="34"/>
        <v>1</v>
      </c>
      <c r="Q1145" t="b">
        <f t="shared" si="35"/>
        <v>1</v>
      </c>
    </row>
    <row r="1146" spans="1:17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  <c r="O1146" t="b">
        <f>COUNTIF($A$2:A1146,A1146)&gt;1</f>
        <v>0</v>
      </c>
      <c r="P1146" t="b">
        <f t="shared" si="34"/>
        <v>1</v>
      </c>
      <c r="Q1146" t="b">
        <f t="shared" si="35"/>
        <v>1</v>
      </c>
    </row>
    <row r="1147" spans="1:17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  <c r="O1147" t="b">
        <f>COUNTIF($A$2:A1147,A1147)&gt;1</f>
        <v>0</v>
      </c>
      <c r="P1147" t="b">
        <f t="shared" si="34"/>
        <v>1</v>
      </c>
      <c r="Q1147" t="b">
        <f t="shared" si="35"/>
        <v>1</v>
      </c>
    </row>
    <row r="1148" spans="1:17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  <c r="O1148" t="b">
        <f>COUNTIF($A$2:A1148,A1148)&gt;1</f>
        <v>0</v>
      </c>
      <c r="P1148" t="b">
        <f t="shared" si="34"/>
        <v>1</v>
      </c>
      <c r="Q1148" t="b">
        <f t="shared" si="35"/>
        <v>1</v>
      </c>
    </row>
    <row r="1149" spans="1:17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  <c r="O1149" t="b">
        <f>COUNTIF($A$2:A1149,A1149)&gt;1</f>
        <v>0</v>
      </c>
      <c r="P1149" t="b">
        <f t="shared" si="34"/>
        <v>1</v>
      </c>
      <c r="Q1149" t="b">
        <f t="shared" si="35"/>
        <v>1</v>
      </c>
    </row>
    <row r="1150" spans="1:17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  <c r="O1150" t="b">
        <f>COUNTIF($A$2:A1150,A1150)&gt;1</f>
        <v>0</v>
      </c>
      <c r="P1150" t="b">
        <f t="shared" si="34"/>
        <v>1</v>
      </c>
      <c r="Q1150" t="b">
        <f t="shared" si="35"/>
        <v>1</v>
      </c>
    </row>
    <row r="1151" spans="1:17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  <c r="O1151" t="b">
        <f>COUNTIF($A$2:A1151,A1151)&gt;1</f>
        <v>0</v>
      </c>
      <c r="P1151" t="b">
        <f t="shared" si="34"/>
        <v>1</v>
      </c>
      <c r="Q1151" t="b">
        <f t="shared" si="35"/>
        <v>1</v>
      </c>
    </row>
    <row r="1152" spans="1:17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  <c r="O1152" t="b">
        <f>COUNTIF($A$2:A1152,A1152)&gt;1</f>
        <v>0</v>
      </c>
      <c r="P1152" t="b">
        <f t="shared" si="34"/>
        <v>1</v>
      </c>
      <c r="Q1152" t="b">
        <f t="shared" si="35"/>
        <v>1</v>
      </c>
    </row>
    <row r="1153" spans="1:17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  <c r="O1153" t="b">
        <f>COUNTIF($A$2:A1153,A1153)&gt;1</f>
        <v>0</v>
      </c>
      <c r="P1153" t="b">
        <f t="shared" si="34"/>
        <v>1</v>
      </c>
      <c r="Q1153" t="b">
        <f t="shared" si="35"/>
        <v>1</v>
      </c>
    </row>
    <row r="1154" spans="1:17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  <c r="O1154" t="b">
        <f>COUNTIF($A$2:A1154,A1154)&gt;1</f>
        <v>0</v>
      </c>
      <c r="P1154" t="b">
        <f t="shared" ref="P1154:P1201" si="36">TRIM(H1154)=H1154</f>
        <v>1</v>
      </c>
      <c r="Q1154" t="b">
        <f t="shared" ref="Q1154:Q1201" si="37">ROUND(E1154*F1154,2)=ROUND(N1154,2)</f>
        <v>1</v>
      </c>
    </row>
    <row r="1155" spans="1:17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  <c r="O1155" t="b">
        <f>COUNTIF($A$2:A1155,A1155)&gt;1</f>
        <v>0</v>
      </c>
      <c r="P1155" t="b">
        <f t="shared" si="36"/>
        <v>1</v>
      </c>
      <c r="Q1155" t="b">
        <f t="shared" si="37"/>
        <v>1</v>
      </c>
    </row>
    <row r="1156" spans="1:17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  <c r="O1156" t="b">
        <f>COUNTIF($A$2:A1156,A1156)&gt;1</f>
        <v>0</v>
      </c>
      <c r="P1156" t="b">
        <f t="shared" si="36"/>
        <v>1</v>
      </c>
      <c r="Q1156" t="b">
        <f t="shared" si="37"/>
        <v>1</v>
      </c>
    </row>
    <row r="1157" spans="1:17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  <c r="O1157" t="b">
        <f>COUNTIF($A$2:A1157,A1157)&gt;1</f>
        <v>0</v>
      </c>
      <c r="P1157" t="b">
        <f t="shared" si="36"/>
        <v>1</v>
      </c>
      <c r="Q1157" t="b">
        <f t="shared" si="37"/>
        <v>1</v>
      </c>
    </row>
    <row r="1158" spans="1:17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  <c r="O1158" t="b">
        <f>COUNTIF($A$2:A1158,A1158)&gt;1</f>
        <v>0</v>
      </c>
      <c r="P1158" t="b">
        <f t="shared" si="36"/>
        <v>1</v>
      </c>
      <c r="Q1158" t="b">
        <f t="shared" si="37"/>
        <v>1</v>
      </c>
    </row>
    <row r="1159" spans="1:17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  <c r="O1159" t="b">
        <f>COUNTIF($A$2:A1159,A1159)&gt;1</f>
        <v>0</v>
      </c>
      <c r="P1159" t="b">
        <f t="shared" si="36"/>
        <v>1</v>
      </c>
      <c r="Q1159" t="b">
        <f t="shared" si="37"/>
        <v>1</v>
      </c>
    </row>
    <row r="1160" spans="1:17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  <c r="O1160" t="b">
        <f>COUNTIF($A$2:A1160,A1160)&gt;1</f>
        <v>0</v>
      </c>
      <c r="P1160" t="b">
        <f t="shared" si="36"/>
        <v>1</v>
      </c>
      <c r="Q1160" t="b">
        <f t="shared" si="37"/>
        <v>1</v>
      </c>
    </row>
    <row r="1161" spans="1:17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  <c r="O1161" t="b">
        <f>COUNTIF($A$2:A1161,A1161)&gt;1</f>
        <v>0</v>
      </c>
      <c r="P1161" t="b">
        <f t="shared" si="36"/>
        <v>1</v>
      </c>
      <c r="Q1161" t="b">
        <f t="shared" si="37"/>
        <v>1</v>
      </c>
    </row>
    <row r="1162" spans="1:17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  <c r="O1162" t="b">
        <f>COUNTIF($A$2:A1162,A1162)&gt;1</f>
        <v>0</v>
      </c>
      <c r="P1162" t="b">
        <f t="shared" si="36"/>
        <v>1</v>
      </c>
      <c r="Q1162" t="b">
        <f t="shared" si="37"/>
        <v>1</v>
      </c>
    </row>
    <row r="1163" spans="1:17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  <c r="O1163" t="b">
        <f>COUNTIF($A$2:A1163,A1163)&gt;1</f>
        <v>0</v>
      </c>
      <c r="P1163" t="b">
        <f t="shared" si="36"/>
        <v>1</v>
      </c>
      <c r="Q1163" t="b">
        <f t="shared" si="37"/>
        <v>1</v>
      </c>
    </row>
    <row r="1164" spans="1:17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  <c r="O1164" t="b">
        <f>COUNTIF($A$2:A1164,A1164)&gt;1</f>
        <v>0</v>
      </c>
      <c r="P1164" t="b">
        <f t="shared" si="36"/>
        <v>1</v>
      </c>
      <c r="Q1164" t="b">
        <f t="shared" si="37"/>
        <v>1</v>
      </c>
    </row>
    <row r="1165" spans="1:17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  <c r="O1165" t="b">
        <f>COUNTIF($A$2:A1165,A1165)&gt;1</f>
        <v>0</v>
      </c>
      <c r="P1165" t="b">
        <f t="shared" si="36"/>
        <v>1</v>
      </c>
      <c r="Q1165" t="b">
        <f t="shared" si="37"/>
        <v>1</v>
      </c>
    </row>
    <row r="1166" spans="1:17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  <c r="O1166" t="b">
        <f>COUNTIF($A$2:A1166,A1166)&gt;1</f>
        <v>0</v>
      </c>
      <c r="P1166" t="b">
        <f t="shared" si="36"/>
        <v>1</v>
      </c>
      <c r="Q1166" t="b">
        <f t="shared" si="37"/>
        <v>1</v>
      </c>
    </row>
    <row r="1167" spans="1:17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  <c r="O1167" t="b">
        <f>COUNTIF($A$2:A1167,A1167)&gt;1</f>
        <v>0</v>
      </c>
      <c r="P1167" t="b">
        <f t="shared" si="36"/>
        <v>1</v>
      </c>
      <c r="Q1167" t="b">
        <f t="shared" si="37"/>
        <v>1</v>
      </c>
    </row>
    <row r="1168" spans="1:17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  <c r="O1168" t="b">
        <f>COUNTIF($A$2:A1168,A1168)&gt;1</f>
        <v>0</v>
      </c>
      <c r="P1168" t="b">
        <f t="shared" si="36"/>
        <v>1</v>
      </c>
      <c r="Q1168" t="b">
        <f t="shared" si="37"/>
        <v>1</v>
      </c>
    </row>
    <row r="1169" spans="1:17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  <c r="O1169" t="b">
        <f>COUNTIF($A$2:A1169,A1169)&gt;1</f>
        <v>0</v>
      </c>
      <c r="P1169" t="b">
        <f t="shared" si="36"/>
        <v>1</v>
      </c>
      <c r="Q1169" t="b">
        <f t="shared" si="37"/>
        <v>1</v>
      </c>
    </row>
    <row r="1170" spans="1:17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  <c r="O1170" t="b">
        <f>COUNTIF($A$2:A1170,A1170)&gt;1</f>
        <v>0</v>
      </c>
      <c r="P1170" t="b">
        <f t="shared" si="36"/>
        <v>1</v>
      </c>
      <c r="Q1170" t="b">
        <f t="shared" si="37"/>
        <v>1</v>
      </c>
    </row>
    <row r="1171" spans="1:17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  <c r="O1171" t="b">
        <f>COUNTIF($A$2:A1171,A1171)&gt;1</f>
        <v>0</v>
      </c>
      <c r="P1171" t="b">
        <f t="shared" si="36"/>
        <v>1</v>
      </c>
      <c r="Q1171" t="b">
        <f t="shared" si="37"/>
        <v>1</v>
      </c>
    </row>
    <row r="1172" spans="1:17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  <c r="O1172" t="b">
        <f>COUNTIF($A$2:A1172,A1172)&gt;1</f>
        <v>0</v>
      </c>
      <c r="P1172" t="b">
        <f t="shared" si="36"/>
        <v>1</v>
      </c>
      <c r="Q1172" t="b">
        <f t="shared" si="37"/>
        <v>1</v>
      </c>
    </row>
    <row r="1173" spans="1:17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  <c r="O1173" t="b">
        <f>COUNTIF($A$2:A1173,A1173)&gt;1</f>
        <v>0</v>
      </c>
      <c r="P1173" t="b">
        <f t="shared" si="36"/>
        <v>1</v>
      </c>
      <c r="Q1173" t="b">
        <f t="shared" si="37"/>
        <v>1</v>
      </c>
    </row>
    <row r="1174" spans="1:17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  <c r="O1174" t="b">
        <f>COUNTIF($A$2:A1174,A1174)&gt;1</f>
        <v>0</v>
      </c>
      <c r="P1174" t="b">
        <f t="shared" si="36"/>
        <v>1</v>
      </c>
      <c r="Q1174" t="b">
        <f t="shared" si="37"/>
        <v>1</v>
      </c>
    </row>
    <row r="1175" spans="1:17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  <c r="O1175" t="b">
        <f>COUNTIF($A$2:A1175,A1175)&gt;1</f>
        <v>0</v>
      </c>
      <c r="P1175" t="b">
        <f t="shared" si="36"/>
        <v>1</v>
      </c>
      <c r="Q1175" t="b">
        <f t="shared" si="37"/>
        <v>1</v>
      </c>
    </row>
    <row r="1176" spans="1:17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  <c r="O1176" t="b">
        <f>COUNTIF($A$2:A1176,A1176)&gt;1</f>
        <v>0</v>
      </c>
      <c r="P1176" t="b">
        <f t="shared" si="36"/>
        <v>1</v>
      </c>
      <c r="Q1176" t="b">
        <f t="shared" si="37"/>
        <v>1</v>
      </c>
    </row>
    <row r="1177" spans="1:17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  <c r="O1177" t="b">
        <f>COUNTIF($A$2:A1177,A1177)&gt;1</f>
        <v>0</v>
      </c>
      <c r="P1177" t="b">
        <f t="shared" si="36"/>
        <v>1</v>
      </c>
      <c r="Q1177" t="b">
        <f t="shared" si="37"/>
        <v>1</v>
      </c>
    </row>
    <row r="1178" spans="1:17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  <c r="O1178" t="b">
        <f>COUNTIF($A$2:A1178,A1178)&gt;1</f>
        <v>0</v>
      </c>
      <c r="P1178" t="b">
        <f t="shared" si="36"/>
        <v>1</v>
      </c>
      <c r="Q1178" t="b">
        <f t="shared" si="37"/>
        <v>1</v>
      </c>
    </row>
    <row r="1179" spans="1:17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  <c r="O1179" t="b">
        <f>COUNTIF($A$2:A1179,A1179)&gt;1</f>
        <v>0</v>
      </c>
      <c r="P1179" t="b">
        <f t="shared" si="36"/>
        <v>1</v>
      </c>
      <c r="Q1179" t="b">
        <f t="shared" si="37"/>
        <v>1</v>
      </c>
    </row>
    <row r="1180" spans="1:17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  <c r="O1180" t="b">
        <f>COUNTIF($A$2:A1180,A1180)&gt;1</f>
        <v>0</v>
      </c>
      <c r="P1180" t="b">
        <f t="shared" si="36"/>
        <v>1</v>
      </c>
      <c r="Q1180" t="b">
        <f t="shared" si="37"/>
        <v>1</v>
      </c>
    </row>
    <row r="1181" spans="1:17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  <c r="O1181" t="b">
        <f>COUNTIF($A$2:A1181,A1181)&gt;1</f>
        <v>0</v>
      </c>
      <c r="P1181" t="b">
        <f t="shared" si="36"/>
        <v>1</v>
      </c>
      <c r="Q1181" t="b">
        <f t="shared" si="37"/>
        <v>1</v>
      </c>
    </row>
    <row r="1182" spans="1:17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  <c r="O1182" t="b">
        <f>COUNTIF($A$2:A1182,A1182)&gt;1</f>
        <v>0</v>
      </c>
      <c r="P1182" t="b">
        <f t="shared" si="36"/>
        <v>1</v>
      </c>
      <c r="Q1182" t="b">
        <f t="shared" si="37"/>
        <v>1</v>
      </c>
    </row>
    <row r="1183" spans="1:17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  <c r="O1183" t="b">
        <f>COUNTIF($A$2:A1183,A1183)&gt;1</f>
        <v>0</v>
      </c>
      <c r="P1183" t="b">
        <f t="shared" si="36"/>
        <v>1</v>
      </c>
      <c r="Q1183" t="b">
        <f t="shared" si="37"/>
        <v>1</v>
      </c>
    </row>
    <row r="1184" spans="1:17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  <c r="O1184" t="b">
        <f>COUNTIF($A$2:A1184,A1184)&gt;1</f>
        <v>0</v>
      </c>
      <c r="P1184" t="b">
        <f t="shared" si="36"/>
        <v>1</v>
      </c>
      <c r="Q1184" t="b">
        <f t="shared" si="37"/>
        <v>1</v>
      </c>
    </row>
    <row r="1185" spans="1:17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  <c r="O1185" t="b">
        <f>COUNTIF($A$2:A1185,A1185)&gt;1</f>
        <v>0</v>
      </c>
      <c r="P1185" t="b">
        <f t="shared" si="36"/>
        <v>1</v>
      </c>
      <c r="Q1185" t="b">
        <f t="shared" si="37"/>
        <v>1</v>
      </c>
    </row>
    <row r="1186" spans="1:17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  <c r="O1186" t="b">
        <f>COUNTIF($A$2:A1186,A1186)&gt;1</f>
        <v>0</v>
      </c>
      <c r="P1186" t="b">
        <f t="shared" si="36"/>
        <v>1</v>
      </c>
      <c r="Q1186" t="b">
        <f t="shared" si="37"/>
        <v>1</v>
      </c>
    </row>
    <row r="1187" spans="1:17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  <c r="O1187" t="b">
        <f>COUNTIF($A$2:A1187,A1187)&gt;1</f>
        <v>0</v>
      </c>
      <c r="P1187" t="b">
        <f t="shared" si="36"/>
        <v>1</v>
      </c>
      <c r="Q1187" t="b">
        <f t="shared" si="37"/>
        <v>1</v>
      </c>
    </row>
    <row r="1188" spans="1:17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  <c r="O1188" t="b">
        <f>COUNTIF($A$2:A1188,A1188)&gt;1</f>
        <v>0</v>
      </c>
      <c r="P1188" t="b">
        <f t="shared" si="36"/>
        <v>1</v>
      </c>
      <c r="Q1188" t="b">
        <f t="shared" si="37"/>
        <v>1</v>
      </c>
    </row>
    <row r="1189" spans="1:17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  <c r="O1189" t="b">
        <f>COUNTIF($A$2:A1189,A1189)&gt;1</f>
        <v>0</v>
      </c>
      <c r="P1189" t="b">
        <f t="shared" si="36"/>
        <v>1</v>
      </c>
      <c r="Q1189" t="b">
        <f t="shared" si="37"/>
        <v>1</v>
      </c>
    </row>
    <row r="1190" spans="1:17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  <c r="O1190" t="b">
        <f>COUNTIF($A$2:A1190,A1190)&gt;1</f>
        <v>0</v>
      </c>
      <c r="P1190" t="b">
        <f t="shared" si="36"/>
        <v>1</v>
      </c>
      <c r="Q1190" t="b">
        <f t="shared" si="37"/>
        <v>1</v>
      </c>
    </row>
    <row r="1191" spans="1:17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  <c r="O1191" t="b">
        <f>COUNTIF($A$2:A1191,A1191)&gt;1</f>
        <v>0</v>
      </c>
      <c r="P1191" t="b">
        <f t="shared" si="36"/>
        <v>1</v>
      </c>
      <c r="Q1191" t="b">
        <f t="shared" si="37"/>
        <v>1</v>
      </c>
    </row>
    <row r="1192" spans="1:17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  <c r="O1192" t="b">
        <f>COUNTIF($A$2:A1192,A1192)&gt;1</f>
        <v>0</v>
      </c>
      <c r="P1192" t="b">
        <f t="shared" si="36"/>
        <v>1</v>
      </c>
      <c r="Q1192" t="b">
        <f t="shared" si="37"/>
        <v>1</v>
      </c>
    </row>
    <row r="1193" spans="1:17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  <c r="O1193" t="b">
        <f>COUNTIF($A$2:A1193,A1193)&gt;1</f>
        <v>0</v>
      </c>
      <c r="P1193" t="b">
        <f t="shared" si="36"/>
        <v>1</v>
      </c>
      <c r="Q1193" t="b">
        <f t="shared" si="37"/>
        <v>1</v>
      </c>
    </row>
    <row r="1194" spans="1:17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  <c r="O1194" t="b">
        <f>COUNTIF($A$2:A1194,A1194)&gt;1</f>
        <v>0</v>
      </c>
      <c r="P1194" t="b">
        <f t="shared" si="36"/>
        <v>1</v>
      </c>
      <c r="Q1194" t="b">
        <f t="shared" si="37"/>
        <v>1</v>
      </c>
    </row>
    <row r="1195" spans="1:17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  <c r="O1195" t="b">
        <f>COUNTIF($A$2:A1195,A1195)&gt;1</f>
        <v>0</v>
      </c>
      <c r="P1195" t="b">
        <f t="shared" si="36"/>
        <v>1</v>
      </c>
      <c r="Q1195" t="b">
        <f t="shared" si="37"/>
        <v>1</v>
      </c>
    </row>
    <row r="1196" spans="1:17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  <c r="O1196" t="b">
        <f>COUNTIF($A$2:A1196,A1196)&gt;1</f>
        <v>0</v>
      </c>
      <c r="P1196" t="b">
        <f t="shared" si="36"/>
        <v>1</v>
      </c>
      <c r="Q1196" t="b">
        <f t="shared" si="37"/>
        <v>1</v>
      </c>
    </row>
    <row r="1197" spans="1:17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  <c r="O1197" t="b">
        <f>COUNTIF($A$2:A1197,A1197)&gt;1</f>
        <v>0</v>
      </c>
      <c r="P1197" t="b">
        <f t="shared" si="36"/>
        <v>1</v>
      </c>
      <c r="Q1197" t="b">
        <f t="shared" si="37"/>
        <v>1</v>
      </c>
    </row>
    <row r="1198" spans="1:17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  <c r="O1198" t="b">
        <f>COUNTIF($A$2:A1198,A1198)&gt;1</f>
        <v>0</v>
      </c>
      <c r="P1198" t="b">
        <f t="shared" si="36"/>
        <v>1</v>
      </c>
      <c r="Q1198" t="b">
        <f t="shared" si="37"/>
        <v>1</v>
      </c>
    </row>
    <row r="1199" spans="1:17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  <c r="O1199" t="b">
        <f>COUNTIF($A$2:A1199,A1199)&gt;1</f>
        <v>0</v>
      </c>
      <c r="P1199" t="b">
        <f t="shared" si="36"/>
        <v>1</v>
      </c>
      <c r="Q1199" t="b">
        <f t="shared" si="37"/>
        <v>1</v>
      </c>
    </row>
    <row r="1200" spans="1:17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  <c r="O1200" t="b">
        <f>COUNTIF($A$2:A1200,A1200)&gt;1</f>
        <v>0</v>
      </c>
      <c r="P1200" t="b">
        <f t="shared" si="36"/>
        <v>1</v>
      </c>
      <c r="Q1200" t="b">
        <f t="shared" si="37"/>
        <v>1</v>
      </c>
    </row>
    <row r="1201" spans="1:17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  <c r="O1201" t="b">
        <f>COUNTIF($A$2:A1201,A1201)&gt;1</f>
        <v>0</v>
      </c>
      <c r="P1201" t="b">
        <f t="shared" si="36"/>
        <v>1</v>
      </c>
      <c r="Q1201" t="b">
        <f t="shared" si="37"/>
        <v>1</v>
      </c>
    </row>
  </sheetData>
  <conditionalFormatting sqref="A1:N1201">
    <cfRule type="containsBlanks" dxfId="3" priority="1">
      <formula>LEN(TRIM(A1))=0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6DAD0-C696-43CD-AE4F-B7BF6D0DCD4A}">
  <dimension ref="A1:B26"/>
  <sheetViews>
    <sheetView topLeftCell="A13" workbookViewId="0">
      <selection activeCell="A26" sqref="A26"/>
    </sheetView>
  </sheetViews>
  <sheetFormatPr defaultRowHeight="15" x14ac:dyDescent="0.25"/>
  <cols>
    <col min="1" max="1" width="36.5703125" bestFit="1" customWidth="1"/>
    <col min="2" max="2" width="27" customWidth="1"/>
  </cols>
  <sheetData>
    <row r="1" spans="1:2" ht="18.75" x14ac:dyDescent="0.3">
      <c r="A1" s="4" t="s">
        <v>4287</v>
      </c>
    </row>
    <row r="2" spans="1:2" ht="14.25" customHeight="1" x14ac:dyDescent="0.3">
      <c r="A2" s="5"/>
    </row>
    <row r="3" spans="1:2" x14ac:dyDescent="0.25">
      <c r="A3" s="6" t="s">
        <v>4291</v>
      </c>
    </row>
    <row r="4" spans="1:2" x14ac:dyDescent="0.25">
      <c r="A4" t="s">
        <v>4288</v>
      </c>
      <c r="B4">
        <v>1201</v>
      </c>
    </row>
    <row r="5" spans="1:2" x14ac:dyDescent="0.25">
      <c r="A5" t="s">
        <v>4289</v>
      </c>
      <c r="B5">
        <v>17</v>
      </c>
    </row>
    <row r="7" spans="1:2" x14ac:dyDescent="0.25">
      <c r="A7" s="6" t="s">
        <v>4290</v>
      </c>
    </row>
    <row r="8" spans="1:2" x14ac:dyDescent="0.25">
      <c r="A8" t="s">
        <v>11</v>
      </c>
      <c r="B8" t="s">
        <v>4292</v>
      </c>
    </row>
    <row r="10" spans="1:2" x14ac:dyDescent="0.25">
      <c r="A10" s="6" t="s">
        <v>4293</v>
      </c>
    </row>
    <row r="11" spans="1:2" ht="34.5" customHeight="1" x14ac:dyDescent="0.25">
      <c r="A11" t="s">
        <v>4294</v>
      </c>
      <c r="B11" s="7" t="s">
        <v>4295</v>
      </c>
    </row>
    <row r="13" spans="1:2" x14ac:dyDescent="0.25">
      <c r="A13" t="s">
        <v>4296</v>
      </c>
    </row>
    <row r="14" spans="1:2" x14ac:dyDescent="0.25">
      <c r="A14" t="s">
        <v>4297</v>
      </c>
    </row>
    <row r="15" spans="1:2" x14ac:dyDescent="0.25">
      <c r="A15" t="s">
        <v>4298</v>
      </c>
    </row>
    <row r="16" spans="1:2" x14ac:dyDescent="0.25">
      <c r="A16" t="s">
        <v>4299</v>
      </c>
    </row>
    <row r="17" spans="1:1" x14ac:dyDescent="0.25">
      <c r="A17" t="s">
        <v>4300</v>
      </c>
    </row>
    <row r="18" spans="1:1" x14ac:dyDescent="0.25">
      <c r="A18" t="s">
        <v>4301</v>
      </c>
    </row>
    <row r="19" spans="1:1" x14ac:dyDescent="0.25">
      <c r="A19" t="s">
        <v>4302</v>
      </c>
    </row>
    <row r="21" spans="1:1" x14ac:dyDescent="0.25">
      <c r="A21" s="6" t="s">
        <v>4303</v>
      </c>
    </row>
    <row r="22" spans="1:1" ht="30" x14ac:dyDescent="0.25">
      <c r="A22" s="7" t="s">
        <v>4304</v>
      </c>
    </row>
    <row r="25" spans="1:1" x14ac:dyDescent="0.25">
      <c r="A25" t="s">
        <v>4305</v>
      </c>
    </row>
    <row r="26" spans="1:1" ht="240" x14ac:dyDescent="0.25">
      <c r="A26" s="8" t="s">
        <v>4306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6EF45-023E-4AAC-B8FE-EE7F5395F9C5}">
  <dimension ref="A1:D53"/>
  <sheetViews>
    <sheetView tabSelected="1" topLeftCell="A27" zoomScaleNormal="100" workbookViewId="0">
      <selection activeCell="A54" sqref="A54"/>
    </sheetView>
  </sheetViews>
  <sheetFormatPr defaultRowHeight="15" x14ac:dyDescent="0.25"/>
  <cols>
    <col min="1" max="1" width="36.42578125" bestFit="1" customWidth="1"/>
    <col min="2" max="2" width="12" style="14" bestFit="1" customWidth="1"/>
    <col min="3" max="3" width="16.140625" customWidth="1"/>
    <col min="4" max="4" width="22.5703125" style="14" bestFit="1" customWidth="1"/>
  </cols>
  <sheetData>
    <row r="1" spans="1:4" ht="18.75" x14ac:dyDescent="0.3">
      <c r="A1" s="12" t="s">
        <v>4314</v>
      </c>
      <c r="B1" s="13"/>
      <c r="C1" s="13"/>
      <c r="D1" s="13"/>
    </row>
    <row r="2" spans="1:4" ht="18.75" x14ac:dyDescent="0.3">
      <c r="A2" s="16"/>
      <c r="B2" s="17"/>
      <c r="C2" s="17"/>
      <c r="D2" s="17"/>
    </row>
    <row r="3" spans="1:4" x14ac:dyDescent="0.25">
      <c r="A3" s="10" t="s">
        <v>4315</v>
      </c>
    </row>
    <row r="4" spans="1:4" x14ac:dyDescent="0.25">
      <c r="A4" s="9" t="s">
        <v>4307</v>
      </c>
      <c r="B4" s="15" t="s">
        <v>4308</v>
      </c>
      <c r="C4" s="9" t="s">
        <v>4311</v>
      </c>
      <c r="D4" s="15" t="s">
        <v>4312</v>
      </c>
    </row>
    <row r="5" spans="1:4" x14ac:dyDescent="0.25">
      <c r="A5" t="s">
        <v>4309</v>
      </c>
      <c r="B5" s="14">
        <f>AVERAGE('Cleaned Data'!N2:N1201)</f>
        <v>1053.9683000000005</v>
      </c>
      <c r="C5" s="11">
        <f>AVERAGE('Cleaned Data'!E2:E1201)</f>
        <v>2.9458333333333333</v>
      </c>
      <c r="D5" s="14">
        <f>AVERAGE('Cleaned Data'!F2:F1201)</f>
        <v>356.41275000000007</v>
      </c>
    </row>
    <row r="6" spans="1:4" x14ac:dyDescent="0.25">
      <c r="A6" t="s">
        <v>4310</v>
      </c>
      <c r="B6" s="14">
        <f>MEDIAN('Cleaned Data'!N2:N1201)</f>
        <v>823.61500000000001</v>
      </c>
      <c r="C6" s="11">
        <f>MEDIAN('Cleaned Data'!E2:E1201)</f>
        <v>3</v>
      </c>
      <c r="D6" s="14">
        <f>MEDIAN('Cleaned Data'!F1:F1201)</f>
        <v>364.21</v>
      </c>
    </row>
    <row r="7" spans="1:4" x14ac:dyDescent="0.25">
      <c r="A7" t="s">
        <v>4313</v>
      </c>
      <c r="B7" s="14">
        <f>COUNT('Cleaned Data'!N2:N1201)</f>
        <v>1200</v>
      </c>
      <c r="C7" s="11">
        <f>COUNT('Cleaned Data'!E2:E1201)</f>
        <v>1200</v>
      </c>
      <c r="D7" s="14">
        <f>COUNT('Cleaned Data'!F2:F1201)</f>
        <v>1200</v>
      </c>
    </row>
    <row r="8" spans="1:4" x14ac:dyDescent="0.25">
      <c r="A8" t="s">
        <v>4316</v>
      </c>
      <c r="B8" s="14">
        <f>MIN('Cleaned Data'!N2:N1201)</f>
        <v>11.39</v>
      </c>
      <c r="C8" s="11">
        <f>MIN('Cleaned Data'!E2:E1201)</f>
        <v>1</v>
      </c>
      <c r="D8" s="14">
        <f>MIN('Cleaned Data'!F2:F1201)</f>
        <v>11.39</v>
      </c>
    </row>
    <row r="9" spans="1:4" x14ac:dyDescent="0.25">
      <c r="A9" t="s">
        <v>4317</v>
      </c>
      <c r="B9" s="14">
        <f>MAX('Cleaned Data'!N1:N1201)</f>
        <v>3456.4</v>
      </c>
      <c r="C9" s="11">
        <f>MAX('Cleaned Data'!E1:E1201)</f>
        <v>5</v>
      </c>
      <c r="D9" s="14">
        <f>MAX('Cleaned Data'!F1:F1201)</f>
        <v>699.93</v>
      </c>
    </row>
    <row r="10" spans="1:4" x14ac:dyDescent="0.25">
      <c r="A10" t="s">
        <v>4318</v>
      </c>
      <c r="B10" s="14">
        <f>STDEV('Cleaned Data'!N1:N1201)</f>
        <v>819.85655836464559</v>
      </c>
      <c r="C10" s="11">
        <f>STDEV('Cleaned Data'!E1:E1201)</f>
        <v>1.4075570987983175</v>
      </c>
      <c r="D10" s="14">
        <f>STDEV('Cleaned Data'!F1:F1201)</f>
        <v>197.17714641491236</v>
      </c>
    </row>
    <row r="12" spans="1:4" x14ac:dyDescent="0.25">
      <c r="A12" s="10" t="s">
        <v>4336</v>
      </c>
    </row>
    <row r="13" spans="1:4" x14ac:dyDescent="0.25">
      <c r="A13" t="s">
        <v>4319</v>
      </c>
    </row>
    <row r="14" spans="1:4" x14ac:dyDescent="0.25">
      <c r="A14" s="9" t="s">
        <v>4320</v>
      </c>
      <c r="B14" s="15" t="s">
        <v>4308</v>
      </c>
      <c r="C14" s="9" t="s">
        <v>4321</v>
      </c>
      <c r="D14" s="15" t="s">
        <v>4322</v>
      </c>
    </row>
    <row r="15" spans="1:4" x14ac:dyDescent="0.25">
      <c r="A15" t="s">
        <v>4323</v>
      </c>
      <c r="B15" s="14">
        <f>SUMPRODUCT((MONTH('Cleaned Data'!$B$2:$B$1201)=MONTH(DATEVALUE(A15&amp;" 1")))*'Cleaned Data'!$N$2:$N$1201)</f>
        <v>124313.23000000005</v>
      </c>
      <c r="C15" s="11">
        <f>SUMPRODUCT((MONTH('Cleaned Data'!$B$2:$B$1201)=MONTH(DATEVALUE(A15&amp;" 1")))*1)</f>
        <v>106</v>
      </c>
      <c r="D15" s="14">
        <f>B15/C15</f>
        <v>1172.7663207547175</v>
      </c>
    </row>
    <row r="16" spans="1:4" x14ac:dyDescent="0.25">
      <c r="A16" t="s">
        <v>4324</v>
      </c>
      <c r="B16" s="14">
        <f>SUMPRODUCT((MONTH('Cleaned Data'!$B$2:$B$1201)=MONTH(DATEVALUE(A16&amp;" 1")))*'Cleaned Data'!$N$2:$N$1201)</f>
        <v>112344.77999999998</v>
      </c>
      <c r="C16" s="11">
        <f>SUMPRODUCT((MONTH('Cleaned Data'!$B$2:$B$1201)=MONTH(DATEVALUE(A16&amp;" 1")))*1)</f>
        <v>106</v>
      </c>
      <c r="D16" s="14">
        <f t="shared" ref="D16:D26" si="0">B16/C16</f>
        <v>1059.8564150943396</v>
      </c>
    </row>
    <row r="17" spans="1:4" x14ac:dyDescent="0.25">
      <c r="A17" t="s">
        <v>4325</v>
      </c>
      <c r="B17" s="14">
        <f>SUMPRODUCT((MONTH('Cleaned Data'!$B$2:$B$1201)=MONTH(DATEVALUE(A17&amp;" 1")))*'Cleaned Data'!$N$2:$N$1201)</f>
        <v>123840.92999999995</v>
      </c>
      <c r="C17" s="11">
        <f>SUMPRODUCT((MONTH('Cleaned Data'!$B$2:$B$1201)=MONTH(DATEVALUE(A17&amp;" 1")))*1)</f>
        <v>128</v>
      </c>
      <c r="D17" s="14">
        <f t="shared" si="0"/>
        <v>967.5072656249996</v>
      </c>
    </row>
    <row r="18" spans="1:4" x14ac:dyDescent="0.25">
      <c r="A18" t="s">
        <v>4326</v>
      </c>
      <c r="B18" s="14">
        <f>SUMPRODUCT((MONTH('Cleaned Data'!$B$2:$B$1201)=MONTH(DATEVALUE(A18&amp;" 1")))*'Cleaned Data'!$N$2:$N$1201)</f>
        <v>109186.05</v>
      </c>
      <c r="C18" s="11">
        <f>SUMPRODUCT((MONTH('Cleaned Data'!$B$2:$B$1201)=MONTH(DATEVALUE(A18&amp;" 1")))*1)</f>
        <v>113</v>
      </c>
      <c r="D18" s="14">
        <f t="shared" si="0"/>
        <v>966.24823008849557</v>
      </c>
    </row>
    <row r="19" spans="1:4" x14ac:dyDescent="0.25">
      <c r="A19" t="s">
        <v>4327</v>
      </c>
      <c r="B19" s="14">
        <f>SUMPRODUCT((MONTH('Cleaned Data'!$B$2:$B$1201)=MONTH(DATEVALUE(A19&amp;" 1")))*'Cleaned Data'!$N$2:$N$1201)</f>
        <v>135142.59</v>
      </c>
      <c r="C19" s="11">
        <f>SUMPRODUCT((MONTH('Cleaned Data'!$B$2:$B$1201)=MONTH(DATEVALUE(A19&amp;" 1")))*1)</f>
        <v>120</v>
      </c>
      <c r="D19" s="14">
        <f t="shared" si="0"/>
        <v>1126.1882499999999</v>
      </c>
    </row>
    <row r="20" spans="1:4" x14ac:dyDescent="0.25">
      <c r="A20" t="s">
        <v>4328</v>
      </c>
      <c r="B20" s="14">
        <f>SUMPRODUCT((MONTH('Cleaned Data'!$B$2:$B$1201)=MONTH(DATEVALUE(A20&amp;" 1")))*'Cleaned Data'!$N$2:$N$1201)</f>
        <v>170616.13000000006</v>
      </c>
      <c r="C20" s="11">
        <f>SUMPRODUCT((MONTH('Cleaned Data'!$B$2:$B$1201)=MONTH(DATEVALUE(A20&amp;" 1")))*1)</f>
        <v>147</v>
      </c>
      <c r="D20" s="14">
        <f t="shared" si="0"/>
        <v>1160.6539455782317</v>
      </c>
    </row>
    <row r="21" spans="1:4" x14ac:dyDescent="0.25">
      <c r="A21" t="s">
        <v>4329</v>
      </c>
      <c r="B21" s="14">
        <f>SUMPRODUCT((MONTH('Cleaned Data'!$B$2:$B$1201)=MONTH(DATEVALUE(A21&amp;" 1")))*'Cleaned Data'!$N$2:$N$1201)</f>
        <v>85784.63999999997</v>
      </c>
      <c r="C21" s="11">
        <f>SUMPRODUCT((MONTH('Cleaned Data'!$B$2:$B$1201)=MONTH(DATEVALUE(A21&amp;" 1")))*1)</f>
        <v>87</v>
      </c>
      <c r="D21" s="14">
        <f t="shared" si="0"/>
        <v>986.03034482758585</v>
      </c>
    </row>
    <row r="22" spans="1:4" x14ac:dyDescent="0.25">
      <c r="A22" t="s">
        <v>4330</v>
      </c>
      <c r="B22" s="14">
        <f>SUMPRODUCT((MONTH('Cleaned Data'!$B$2:$B$1201)=MONTH(DATEVALUE(A22&amp;" 1")))*'Cleaned Data'!$N$2:$N$1201)</f>
        <v>86343.210000000036</v>
      </c>
      <c r="C22" s="11">
        <f>SUMPRODUCT((MONTH('Cleaned Data'!$B$2:$B$1201)=MONTH(DATEVALUE(A22&amp;" 1")))*1)</f>
        <v>79</v>
      </c>
      <c r="D22" s="14">
        <f t="shared" si="0"/>
        <v>1092.9520253164562</v>
      </c>
    </row>
    <row r="23" spans="1:4" x14ac:dyDescent="0.25">
      <c r="A23" t="s">
        <v>4331</v>
      </c>
      <c r="B23" s="14">
        <f>SUMPRODUCT((MONTH('Cleaned Data'!$B$2:$B$1201)=MONTH(DATEVALUE(A23&amp;" 1")))*'Cleaned Data'!$N$2:$N$1201)</f>
        <v>69321.650000000023</v>
      </c>
      <c r="C23" s="11">
        <f>SUMPRODUCT((MONTH('Cleaned Data'!$B$2:$B$1201)=MONTH(DATEVALUE(A23&amp;" 1")))*1)</f>
        <v>73</v>
      </c>
      <c r="D23" s="14">
        <f t="shared" si="0"/>
        <v>949.61164383561675</v>
      </c>
    </row>
    <row r="24" spans="1:4" x14ac:dyDescent="0.25">
      <c r="A24" t="s">
        <v>4332</v>
      </c>
      <c r="B24" s="14">
        <f>SUMPRODUCT((MONTH('Cleaned Data'!$B$2:$B$1201)=MONTH(DATEVALUE(A24&amp;" 1")))*'Cleaned Data'!$N$2:$N$1201)</f>
        <v>89834.820000000022</v>
      </c>
      <c r="C24" s="11">
        <f>SUMPRODUCT((MONTH('Cleaned Data'!$B$2:$B$1201)=MONTH(DATEVALUE(A24&amp;" 1")))*1)</f>
        <v>78</v>
      </c>
      <c r="D24" s="14">
        <f t="shared" si="0"/>
        <v>1151.7284615384617</v>
      </c>
    </row>
    <row r="25" spans="1:4" x14ac:dyDescent="0.25">
      <c r="A25" t="s">
        <v>4333</v>
      </c>
      <c r="B25" s="14">
        <f>SUMPRODUCT((MONTH('Cleaned Data'!$B$2:$B$1201)=MONTH(DATEVALUE(A25&amp;" 1")))*'Cleaned Data'!$N$2:$N$1201)</f>
        <v>75493.430000000008</v>
      </c>
      <c r="C25" s="11">
        <f>SUMPRODUCT((MONTH('Cleaned Data'!$B$2:$B$1201)=MONTH(DATEVALUE(A25&amp;" 1")))*1)</f>
        <v>76</v>
      </c>
      <c r="D25" s="14">
        <f t="shared" si="0"/>
        <v>993.33460526315798</v>
      </c>
    </row>
    <row r="26" spans="1:4" x14ac:dyDescent="0.25">
      <c r="A26" t="s">
        <v>4334</v>
      </c>
      <c r="B26" s="14">
        <f>SUMPRODUCT((MONTH('Cleaned Data'!$B$2:$B$1201)=MONTH(DATEVALUE(A26&amp;" 1")))*'Cleaned Data'!$N$2:$N$1201)</f>
        <v>82540.5</v>
      </c>
      <c r="C26" s="11">
        <f>SUMPRODUCT((MONTH('Cleaned Data'!$B$2:$B$1201)=MONTH(DATEVALUE(A26&amp;" 1")))*1)</f>
        <v>87</v>
      </c>
      <c r="D26" s="14">
        <f t="shared" si="0"/>
        <v>948.74137931034488</v>
      </c>
    </row>
    <row r="28" spans="1:4" x14ac:dyDescent="0.25">
      <c r="A28" s="10" t="s">
        <v>4335</v>
      </c>
    </row>
    <row r="29" spans="1:4" x14ac:dyDescent="0.25">
      <c r="A29" t="s">
        <v>4319</v>
      </c>
    </row>
    <row r="30" spans="1:4" x14ac:dyDescent="0.25">
      <c r="A30" s="9" t="s">
        <v>4338</v>
      </c>
      <c r="B30" s="15" t="s">
        <v>4337</v>
      </c>
      <c r="C30" s="9" t="s">
        <v>4321</v>
      </c>
      <c r="D30" s="15" t="s">
        <v>4322</v>
      </c>
    </row>
    <row r="31" spans="1:4" x14ac:dyDescent="0.25">
      <c r="A31" t="s">
        <v>2406</v>
      </c>
      <c r="B31" s="14">
        <f>SUMIF('Cleaned Data'!$D$2:$D$1201,A31,'Cleaned Data'!$N$2:$N$1201)</f>
        <v>195620.11000000002</v>
      </c>
      <c r="C31" s="11">
        <f>COUNTIF('Cleaned Data'!$D$2:$D$1201,A31)</f>
        <v>178</v>
      </c>
      <c r="D31" s="14">
        <f>B31/C31</f>
        <v>1098.989382022472</v>
      </c>
    </row>
    <row r="32" spans="1:4" x14ac:dyDescent="0.25">
      <c r="A32" t="s">
        <v>2409</v>
      </c>
      <c r="B32" s="14">
        <f>SUMIF('Cleaned Data'!$D$2:$D$1201,A32,'Cleaned Data'!$N$2:$N$1201)</f>
        <v>167459.93</v>
      </c>
      <c r="C32" s="11">
        <f>COUNTIF('Cleaned Data'!$D$2:$D$1201,A32)</f>
        <v>170</v>
      </c>
      <c r="D32" s="14">
        <f t="shared" ref="D32:D37" si="1">B32/C32</f>
        <v>985.05841176470585</v>
      </c>
    </row>
    <row r="33" spans="1:4" x14ac:dyDescent="0.25">
      <c r="A33" t="s">
        <v>2408</v>
      </c>
      <c r="B33" s="14">
        <f>SUMIF('Cleaned Data'!$D$2:$D$1201,A33,'Cleaned Data'!$N$2:$N$1201)</f>
        <v>192126.55999999994</v>
      </c>
      <c r="C33" s="11">
        <f>COUNTIF('Cleaned Data'!$D$2:$D$1201,A33)</f>
        <v>173</v>
      </c>
      <c r="D33" s="14">
        <f t="shared" si="1"/>
        <v>1110.558150289017</v>
      </c>
    </row>
    <row r="34" spans="1:4" x14ac:dyDescent="0.25">
      <c r="A34" t="s">
        <v>2403</v>
      </c>
      <c r="B34" s="14">
        <f>SUMIF('Cleaned Data'!$D$2:$D$1201,A34,'Cleaned Data'!$N$2:$N$1201)</f>
        <v>175651.40999999997</v>
      </c>
      <c r="C34" s="11">
        <f>COUNTIF('Cleaned Data'!$D$2:$D$1201,A34)</f>
        <v>163</v>
      </c>
      <c r="D34" s="14">
        <f t="shared" si="1"/>
        <v>1077.6160122699384</v>
      </c>
    </row>
    <row r="35" spans="1:4" x14ac:dyDescent="0.25">
      <c r="A35" t="s">
        <v>2404</v>
      </c>
      <c r="B35" s="14">
        <f>SUMIF('Cleaned Data'!$D$2:$D$1201,A35,'Cleaned Data'!$N$2:$N$1201)</f>
        <v>151722.39000000001</v>
      </c>
      <c r="C35" s="11">
        <f>COUNTIF('Cleaned Data'!$D$2:$D$1201,A35)</f>
        <v>156</v>
      </c>
      <c r="D35" s="14">
        <f t="shared" si="1"/>
        <v>972.57942307692315</v>
      </c>
    </row>
    <row r="36" spans="1:4" x14ac:dyDescent="0.25">
      <c r="A36" t="s">
        <v>2407</v>
      </c>
      <c r="B36" s="14">
        <f>SUMIF('Cleaned Data'!$D$2:$D$1201,A36,'Cleaned Data'!$N$2:$N$1201)</f>
        <v>195612.60999999996</v>
      </c>
      <c r="C36" s="11">
        <f>COUNTIF('Cleaned Data'!$D$2:$D$1201,A36)</f>
        <v>181</v>
      </c>
      <c r="D36" s="14">
        <f t="shared" si="1"/>
        <v>1080.7326519337014</v>
      </c>
    </row>
    <row r="37" spans="1:4" x14ac:dyDescent="0.25">
      <c r="A37" t="s">
        <v>2405</v>
      </c>
      <c r="B37" s="14">
        <f>SUMIF('Cleaned Data'!$D$2:$D$1201,A37,'Cleaned Data'!$N$2:$N$1201)</f>
        <v>186568.95000000007</v>
      </c>
      <c r="C37" s="11">
        <f>COUNTIF('Cleaned Data'!$D$2:$D$1201,A37)</f>
        <v>179</v>
      </c>
      <c r="D37" s="14">
        <f t="shared" si="1"/>
        <v>1042.2846368715088</v>
      </c>
    </row>
    <row r="38" spans="1:4" x14ac:dyDescent="0.25">
      <c r="C38" s="11"/>
    </row>
    <row r="39" spans="1:4" x14ac:dyDescent="0.25">
      <c r="A39" s="10" t="s">
        <v>4339</v>
      </c>
      <c r="C39" s="11"/>
    </row>
    <row r="40" spans="1:4" x14ac:dyDescent="0.25">
      <c r="A40" t="s">
        <v>4340</v>
      </c>
      <c r="B40">
        <f>QUARTILE('Cleaned Data'!N2:N1201,1)</f>
        <v>410.52</v>
      </c>
      <c r="C40" s="11"/>
    </row>
    <row r="41" spans="1:4" x14ac:dyDescent="0.25">
      <c r="A41" t="s">
        <v>4341</v>
      </c>
      <c r="B41" s="14">
        <f>QUARTILE('Cleaned Data'!N2:N1201,3)</f>
        <v>1578.4749999999999</v>
      </c>
      <c r="C41" s="11"/>
    </row>
    <row r="42" spans="1:4" ht="15.75" x14ac:dyDescent="0.3">
      <c r="A42" t="s">
        <v>4342</v>
      </c>
      <c r="B42" s="18">
        <f>B41-B40</f>
        <v>1167.9549999999999</v>
      </c>
      <c r="C42" s="11"/>
    </row>
    <row r="43" spans="1:4" x14ac:dyDescent="0.25">
      <c r="A43" t="s">
        <v>4343</v>
      </c>
      <c r="B43">
        <f>B40-1.5*B42</f>
        <v>-1341.4124999999999</v>
      </c>
    </row>
    <row r="44" spans="1:4" x14ac:dyDescent="0.25">
      <c r="A44" t="s">
        <v>4344</v>
      </c>
      <c r="B44" s="11">
        <f>B41+1.5*B42</f>
        <v>3330.4074999999998</v>
      </c>
    </row>
    <row r="45" spans="1:4" x14ac:dyDescent="0.25">
      <c r="A45" t="s">
        <v>4345</v>
      </c>
      <c r="B45" s="14">
        <f>COUNTIF('Cleaned Data'!N2:N1201,"&gt;"&amp;B44)</f>
        <v>8</v>
      </c>
    </row>
    <row r="46" spans="1:4" x14ac:dyDescent="0.25">
      <c r="A46" t="s">
        <v>4346</v>
      </c>
      <c r="B46" s="14">
        <f>COUNTIF('Cleaned Data'!N2:N1201,"&lt;"&amp;B43)</f>
        <v>0</v>
      </c>
    </row>
    <row r="48" spans="1:4" x14ac:dyDescent="0.25">
      <c r="A48" s="10" t="s">
        <v>4347</v>
      </c>
    </row>
    <row r="49" spans="1:4" ht="24.75" customHeight="1" x14ac:dyDescent="0.25">
      <c r="A49" s="19" t="s">
        <v>4348</v>
      </c>
      <c r="B49" s="19"/>
      <c r="C49" s="19"/>
      <c r="D49" s="19"/>
    </row>
    <row r="50" spans="1:4" ht="47.25" customHeight="1" x14ac:dyDescent="0.25">
      <c r="A50" s="20" t="s">
        <v>4349</v>
      </c>
      <c r="B50" s="20"/>
      <c r="C50" s="20"/>
      <c r="D50" s="20"/>
    </row>
    <row r="51" spans="1:4" ht="48" customHeight="1" x14ac:dyDescent="0.25">
      <c r="A51" s="20" t="s">
        <v>4350</v>
      </c>
      <c r="B51" s="20"/>
      <c r="C51" s="20"/>
      <c r="D51" s="20"/>
    </row>
    <row r="52" spans="1:4" ht="45" customHeight="1" x14ac:dyDescent="0.25">
      <c r="A52" s="20" t="s">
        <v>4351</v>
      </c>
      <c r="B52" s="20"/>
      <c r="C52" s="20"/>
      <c r="D52" s="20"/>
    </row>
    <row r="53" spans="1:4" ht="30" customHeight="1" x14ac:dyDescent="0.25">
      <c r="A53" s="20" t="s">
        <v>4352</v>
      </c>
      <c r="B53" s="20"/>
      <c r="C53" s="20"/>
      <c r="D53" s="20"/>
    </row>
  </sheetData>
  <mergeCells count="6">
    <mergeCell ref="A1:D1"/>
    <mergeCell ref="A49:D49"/>
    <mergeCell ref="A50:D50"/>
    <mergeCell ref="A51:D51"/>
    <mergeCell ref="A52:D52"/>
    <mergeCell ref="A53:D53"/>
  </mergeCells>
  <phoneticPr fontId="5" type="noConversion"/>
  <conditionalFormatting sqref="A4:D4">
    <cfRule type="containsBlanks" dxfId="2" priority="3">
      <formula>LEN(TRIM(A4))=0</formula>
    </cfRule>
  </conditionalFormatting>
  <conditionalFormatting sqref="A14:D14">
    <cfRule type="containsBlanks" dxfId="1" priority="2">
      <formula>LEN(TRIM(A14))=0</formula>
    </cfRule>
  </conditionalFormatting>
  <conditionalFormatting sqref="A30:D30">
    <cfRule type="containsBlanks" dxfId="0" priority="1">
      <formula>LEN(TRIM(A30))=0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Cleaned Data</vt:lpstr>
      <vt:lpstr>Data Summary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2025-06-21T13:19:12Z</dcterms:created>
  <dcterms:modified xsi:type="dcterms:W3CDTF">2026-08-18T21:12:44Z</dcterms:modified>
</cp:coreProperties>
</file>